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47272c815c99fc/Escritorio/ALMACEN/"/>
    </mc:Choice>
  </mc:AlternateContent>
  <xr:revisionPtr revIDLastSave="2" documentId="11_AF7C5B3CEB33AE662C5D020BEB34417109144805" xr6:coauthVersionLast="47" xr6:coauthVersionMax="47" xr10:uidLastSave="{4BAFC11E-AD2C-4B14-9ECA-4A8FE1D93FAD}"/>
  <bookViews>
    <workbookView xWindow="-108" yWindow="-108" windowWidth="23256" windowHeight="12456" tabRatio="614" activeTab="1" xr2:uid="{00000000-000D-0000-FFFF-FFFF00000000}"/>
  </bookViews>
  <sheets>
    <sheet name="CARTA PORTE SALIDA PT" sheetId="374" r:id="rId1"/>
    <sheet name="CARTA PORTE ENTRADA MP" sheetId="529" r:id="rId2"/>
    <sheet name="Hoja1" sheetId="53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12" i="374" l="1"/>
  <c r="J12" i="530" l="1"/>
  <c r="J19" i="530" l="1"/>
  <c r="J18" i="530"/>
  <c r="J14" i="530"/>
  <c r="J23" i="530"/>
  <c r="J22" i="530"/>
  <c r="J21" i="530"/>
  <c r="J20" i="530"/>
  <c r="J17" i="530"/>
  <c r="J16" i="530"/>
  <c r="J15" i="530"/>
  <c r="J13" i="530"/>
  <c r="J11" i="530"/>
  <c r="J10" i="530"/>
  <c r="H21" i="530" l="1"/>
  <c r="H20" i="530"/>
  <c r="H12" i="530"/>
  <c r="H11" i="530"/>
  <c r="H10" i="530"/>
  <c r="H19" i="530"/>
  <c r="H18" i="530"/>
  <c r="H17" i="530"/>
  <c r="H16" i="530"/>
  <c r="H15" i="530"/>
  <c r="H14" i="530"/>
  <c r="H13" i="530"/>
  <c r="C13" i="530"/>
  <c r="C21" i="530"/>
  <c r="C19" i="530"/>
  <c r="C20" i="530"/>
  <c r="C18" i="530"/>
  <c r="C17" i="530"/>
  <c r="C16" i="530"/>
  <c r="C15" i="530"/>
  <c r="C14" i="530"/>
  <c r="C12" i="530"/>
  <c r="C10" i="530"/>
  <c r="C11" i="530"/>
  <c r="AJ12" i="529"/>
  <c r="H24" i="530" l="1"/>
  <c r="C22" i="530"/>
  <c r="AR15" i="529"/>
  <c r="AR15" i="374"/>
</calcChain>
</file>

<file path=xl/sharedStrings.xml><?xml version="1.0" encoding="utf-8"?>
<sst xmlns="http://schemas.openxmlformats.org/spreadsheetml/2006/main" count="135" uniqueCount="92">
  <si>
    <t>AGROALIMENTARIA DELYSSE S. DE R.L.</t>
  </si>
  <si>
    <t>Carta Porte No:</t>
  </si>
  <si>
    <t>ADE1204044I4</t>
  </si>
  <si>
    <t>ENTRADA DE MATERIA PRIMA</t>
  </si>
  <si>
    <t>Domicilio Fiscal</t>
  </si>
  <si>
    <t>RAFAEL CEPEDA 85 MZA 59 LT 11 1</t>
  </si>
  <si>
    <t>Calle Norte 11-A #4724 Col.</t>
  </si>
  <si>
    <t>Defensores de la Republica. CP.07780</t>
  </si>
  <si>
    <t>PLANTA XOCHITEPEC, MORELOS</t>
  </si>
  <si>
    <t xml:space="preserve">Ciudad de México </t>
  </si>
  <si>
    <t>Tel. 52-33-10-63 y 52-33-10-64</t>
  </si>
  <si>
    <t>FECHA Y HORA DE ENTRADA:</t>
  </si>
  <si>
    <t>http://www.delysse.mx</t>
  </si>
  <si>
    <t xml:space="preserve">CARTA PORTE </t>
  </si>
  <si>
    <t>AGROALIMENTARIA DELYSSE S DE RL</t>
  </si>
  <si>
    <t>Fecha de Expedición:</t>
  </si>
  <si>
    <t>Lugar de Expedición:</t>
  </si>
  <si>
    <t>CIUDAD DE MEXICO</t>
  </si>
  <si>
    <t xml:space="preserve">RFC: </t>
  </si>
  <si>
    <t>CANTIDAD</t>
  </si>
  <si>
    <t>UNIDAD DE MEDIDA</t>
  </si>
  <si>
    <t>MATERIA PRIMA O PRODUCTO</t>
  </si>
  <si>
    <t>LOTE</t>
  </si>
  <si>
    <t>CAD</t>
  </si>
  <si>
    <t>PROVEEDOR</t>
  </si>
  <si>
    <t>ORIGEN</t>
  </si>
  <si>
    <t>OPERADOR:</t>
  </si>
  <si>
    <t xml:space="preserve">UNIDAD: </t>
  </si>
  <si>
    <t>CAMION</t>
  </si>
  <si>
    <t xml:space="preserve">PESO: </t>
  </si>
  <si>
    <t>TIPO:</t>
  </si>
  <si>
    <t>KG</t>
  </si>
  <si>
    <t>.</t>
  </si>
  <si>
    <t>REALIZO:</t>
  </si>
  <si>
    <t>DESTINO</t>
  </si>
  <si>
    <t xml:space="preserve"> </t>
  </si>
  <si>
    <t>CLIENTE</t>
  </si>
  <si>
    <t>CLAVE</t>
  </si>
  <si>
    <t>PRODUCTO</t>
  </si>
  <si>
    <t>XOCHITEPEC MORELOS</t>
  </si>
  <si>
    <t>SALIDA DE PRODUCTO TERMINADO</t>
  </si>
  <si>
    <t>FECHA Y HORA DE SALIDA:</t>
  </si>
  <si>
    <t>XOCHITEPEC, MORELOS</t>
  </si>
  <si>
    <t>PESO:</t>
  </si>
  <si>
    <t>}</t>
  </si>
  <si>
    <t xml:space="preserve">GABRIELA DELGADO </t>
  </si>
  <si>
    <t>VERIFICO:</t>
  </si>
  <si>
    <t>GABRIELA DELGADO</t>
  </si>
  <si>
    <t>JESÚS VALENCIA</t>
  </si>
  <si>
    <t>VERIFICÓ</t>
  </si>
  <si>
    <t xml:space="preserve">JESUS VALENCIA </t>
  </si>
  <si>
    <t>GOMA GUAR</t>
  </si>
  <si>
    <t>AGUA</t>
  </si>
  <si>
    <t>AZUCAR</t>
  </si>
  <si>
    <t>ACIDO CITRICO</t>
  </si>
  <si>
    <t>Q1</t>
  </si>
  <si>
    <t>Q2</t>
  </si>
  <si>
    <t>Q3</t>
  </si>
  <si>
    <t>QM</t>
  </si>
  <si>
    <t xml:space="preserve">SABOR MANGO </t>
  </si>
  <si>
    <t>ACIDO MALICO</t>
  </si>
  <si>
    <t>MANGO PURE MADURO</t>
  </si>
  <si>
    <t>MANGO PURE VERDE</t>
  </si>
  <si>
    <t>M2A</t>
  </si>
  <si>
    <t>M2B</t>
  </si>
  <si>
    <t xml:space="preserve">BRIX </t>
  </si>
  <si>
    <t>17°</t>
  </si>
  <si>
    <t>PH</t>
  </si>
  <si>
    <t>MANGO MANNILA PURE</t>
  </si>
  <si>
    <t xml:space="preserve">N-DULGE </t>
  </si>
  <si>
    <t>Ph</t>
  </si>
  <si>
    <t>COLOR AMARILLO MANGO 2DA</t>
  </si>
  <si>
    <t>COLOR AMARILLO MANGO 1ERA</t>
  </si>
  <si>
    <t>500 g</t>
  </si>
  <si>
    <t>2Kg</t>
  </si>
  <si>
    <t>MANGO MANNILA ALMI</t>
  </si>
  <si>
    <t>RANULFO LOPEZ</t>
  </si>
  <si>
    <t>CAJA 4.8Kg</t>
  </si>
  <si>
    <t>TF-09/P</t>
  </si>
  <si>
    <t xml:space="preserve">PULPA DE FRESA </t>
  </si>
  <si>
    <t>VIPS</t>
  </si>
  <si>
    <t>CAMIONETA</t>
  </si>
  <si>
    <t>FELICIANO SANTOS</t>
  </si>
  <si>
    <t>71</t>
  </si>
  <si>
    <t>200826</t>
  </si>
  <si>
    <t>200827</t>
  </si>
  <si>
    <t>CAJA 5Kg</t>
  </si>
  <si>
    <t>TFD-114/A</t>
  </si>
  <si>
    <t>TOPPING DE FRESA PURÉ</t>
  </si>
  <si>
    <t>181126</t>
  </si>
  <si>
    <t>ALSEA</t>
  </si>
  <si>
    <t>001A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</si>
</sst>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-C0A]d\ &quot;de&quot;\ mmmm\ &quot;de&quot;\ yyyy;@"/>
    <numFmt numFmtId="165" formatCode="_-[$$-80A]* #,##0.00_-;\-[$$-80A]* #,##0.00_-;_-[$$-80A]* &quot;-&quot;??_-;_-@_-"/>
    <numFmt numFmtId="166" formatCode="0.0"/>
    <numFmt numFmtId="167" formatCode="0.0000"/>
    <numFmt numFmtId="168" formatCode="0.00000"/>
    <numFmt numFmtId="169" formatCode="0.000000"/>
    <numFmt numFmtId="170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6"/>
      <name val="Bookman Old Style"/>
      <family val="1"/>
    </font>
    <font>
      <sz val="11"/>
      <color theme="1"/>
      <name val="Bookman Old Style"/>
      <family val="1"/>
    </font>
    <font>
      <b/>
      <sz val="9"/>
      <color theme="1"/>
      <name val="Bookman Old Style"/>
      <family val="1"/>
    </font>
    <font>
      <sz val="9"/>
      <color theme="1"/>
      <name val="Bookman Old Style"/>
      <family val="1"/>
    </font>
    <font>
      <b/>
      <sz val="9"/>
      <color rgb="FFFF0000"/>
      <name val="Bookman Old Style"/>
      <family val="1"/>
    </font>
    <font>
      <u/>
      <sz val="11"/>
      <color theme="1"/>
      <name val="Bookman Old Style"/>
      <family val="1"/>
    </font>
    <font>
      <u/>
      <sz val="9"/>
      <color theme="1"/>
      <name val="Bookman Old Style"/>
      <family val="1"/>
    </font>
    <font>
      <b/>
      <sz val="10"/>
      <color theme="1"/>
      <name val="Bookman Old Style"/>
      <family val="1"/>
    </font>
    <font>
      <u/>
      <sz val="11"/>
      <color theme="10"/>
      <name val="Calibri"/>
      <family val="2"/>
      <scheme val="minor"/>
    </font>
    <font>
      <sz val="9"/>
      <color rgb="FFFF0000"/>
      <name val="Bookman Old Style"/>
      <family val="1"/>
    </font>
    <font>
      <b/>
      <sz val="14"/>
      <color theme="1"/>
      <name val="Bookman Old Style"/>
      <family val="1"/>
    </font>
    <font>
      <sz val="8"/>
      <color theme="1"/>
      <name val="Bookman Old Style"/>
      <family val="1"/>
    </font>
    <font>
      <b/>
      <sz val="8"/>
      <color theme="1"/>
      <name val="Bookman Old Style"/>
      <family val="1"/>
    </font>
    <font>
      <sz val="10"/>
      <color theme="1"/>
      <name val="Bookman Old Style"/>
      <family val="1"/>
    </font>
    <font>
      <b/>
      <sz val="7"/>
      <color theme="1"/>
      <name val="Bookman Old Style"/>
      <family val="1"/>
    </font>
    <font>
      <sz val="7"/>
      <color theme="1"/>
      <name val="Bookman Old Style"/>
      <family val="1"/>
    </font>
    <font>
      <b/>
      <sz val="8"/>
      <name val="Bookman Old Style"/>
      <family val="1"/>
    </font>
    <font>
      <b/>
      <sz val="9"/>
      <name val="Bookman Old Style"/>
      <family val="1"/>
    </font>
    <font>
      <sz val="9"/>
      <name val="Bookman Old Style"/>
      <family val="1"/>
    </font>
    <font>
      <sz val="5"/>
      <color theme="1"/>
      <name val="Bookman Old Style"/>
      <family val="1"/>
    </font>
    <font>
      <sz val="6"/>
      <color theme="1"/>
      <name val="Bookman Old Style"/>
      <family val="1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5"/>
      <name val="Arial"/>
      <family val="2"/>
    </font>
    <font>
      <b/>
      <sz val="6"/>
      <color theme="1"/>
      <name val="Bookman Old Style"/>
      <family val="1"/>
    </font>
    <font>
      <u/>
      <sz val="10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5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10" fillId="0" borderId="0" xfId="3" applyAlignment="1">
      <alignment vertical="center"/>
    </xf>
    <xf numFmtId="0" fontId="5" fillId="0" borderId="4" xfId="0" applyFont="1" applyBorder="1" applyAlignment="1">
      <alignment vertical="center"/>
    </xf>
    <xf numFmtId="14" fontId="5" fillId="0" borderId="0" xfId="0" applyNumberFormat="1" applyFont="1" applyAlignment="1">
      <alignment vertical="center"/>
    </xf>
    <xf numFmtId="21" fontId="5" fillId="0" borderId="0" xfId="0" applyNumberFormat="1" applyFont="1" applyAlignment="1">
      <alignment vertical="center"/>
    </xf>
    <xf numFmtId="0" fontId="5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0" fontId="3" fillId="0" borderId="8" xfId="0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49" fontId="14" fillId="0" borderId="0" xfId="0" applyNumberFormat="1" applyFont="1" applyAlignment="1">
      <alignment vertical="center"/>
    </xf>
    <xf numFmtId="49" fontId="15" fillId="0" borderId="0" xfId="0" applyNumberFormat="1" applyFont="1" applyAlignment="1">
      <alignment vertical="center"/>
    </xf>
    <xf numFmtId="49" fontId="13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49" fontId="13" fillId="0" borderId="11" xfId="0" applyNumberFormat="1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49" fontId="13" fillId="0" borderId="13" xfId="0" applyNumberFormat="1" applyFont="1" applyBorder="1" applyAlignment="1">
      <alignment vertical="center"/>
    </xf>
    <xf numFmtId="49" fontId="13" fillId="0" borderId="14" xfId="0" applyNumberFormat="1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13" fillId="0" borderId="17" xfId="0" applyFont="1" applyBorder="1" applyAlignment="1">
      <alignment vertical="center"/>
    </xf>
    <xf numFmtId="0" fontId="13" fillId="0" borderId="18" xfId="0" applyFont="1" applyBorder="1" applyAlignment="1">
      <alignment vertical="center"/>
    </xf>
    <xf numFmtId="0" fontId="22" fillId="0" borderId="0" xfId="0" applyFont="1" applyAlignment="1">
      <alignment horizontal="left" vertical="center"/>
    </xf>
    <xf numFmtId="49" fontId="22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49" fontId="3" fillId="0" borderId="17" xfId="0" applyNumberFormat="1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0" fontId="14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vertical="center"/>
    </xf>
    <xf numFmtId="0" fontId="14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vertical="center"/>
    </xf>
    <xf numFmtId="0" fontId="25" fillId="0" borderId="0" xfId="0" applyFont="1" applyAlignment="1">
      <alignment vertical="center"/>
    </xf>
    <xf numFmtId="167" fontId="0" fillId="0" borderId="0" xfId="0" applyNumberFormat="1"/>
    <xf numFmtId="0" fontId="27" fillId="0" borderId="0" xfId="0" applyFon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5" fillId="0" borderId="0" xfId="0" applyNumberFormat="1" applyFont="1" applyAlignment="1">
      <alignment vertical="center"/>
    </xf>
    <xf numFmtId="21" fontId="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4" fontId="20" fillId="0" borderId="0" xfId="0" applyNumberFormat="1" applyFont="1" applyAlignment="1">
      <alignment vertical="center"/>
    </xf>
    <xf numFmtId="2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49" fontId="15" fillId="0" borderId="17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65" fontId="14" fillId="0" borderId="11" xfId="0" applyNumberFormat="1" applyFont="1" applyBorder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5" fontId="13" fillId="0" borderId="11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165" fontId="13" fillId="0" borderId="0" xfId="0" applyNumberFormat="1" applyFont="1" applyAlignment="1">
      <alignment horizontal="center" vertical="center"/>
    </xf>
    <xf numFmtId="165" fontId="14" fillId="0" borderId="13" xfId="0" applyNumberFormat="1" applyFont="1" applyBorder="1" applyAlignment="1">
      <alignment horizontal="center" vertical="center"/>
    </xf>
    <xf numFmtId="165" fontId="14" fillId="0" borderId="14" xfId="0" applyNumberFormat="1" applyFont="1" applyBorder="1" applyAlignment="1">
      <alignment horizontal="center" vertical="center"/>
    </xf>
    <xf numFmtId="165" fontId="13" fillId="0" borderId="13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right" vertical="center"/>
    </xf>
    <xf numFmtId="14" fontId="22" fillId="0" borderId="0" xfId="0" applyNumberFormat="1" applyFont="1" applyAlignment="1">
      <alignment horizontal="center" vertical="center"/>
    </xf>
    <xf numFmtId="21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3" fontId="4" fillId="0" borderId="11" xfId="0" applyNumberFormat="1" applyFont="1" applyBorder="1" applyAlignment="1">
      <alignment horizontal="center" vertical="center"/>
    </xf>
    <xf numFmtId="165" fontId="14" fillId="0" borderId="12" xfId="0" applyNumberFormat="1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5" fontId="24" fillId="0" borderId="11" xfId="0" applyNumberFormat="1" applyFont="1" applyBorder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165" fontId="24" fillId="0" borderId="12" xfId="0" applyNumberFormat="1" applyFont="1" applyBorder="1" applyAlignment="1">
      <alignment horizontal="center" vertical="center"/>
    </xf>
    <xf numFmtId="165" fontId="25" fillId="0" borderId="11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166" fontId="23" fillId="0" borderId="11" xfId="1" applyNumberFormat="1" applyFont="1" applyBorder="1" applyAlignment="1">
      <alignment horizontal="center" vertical="center"/>
    </xf>
    <xf numFmtId="166" fontId="23" fillId="0" borderId="0" xfId="1" applyNumberFormat="1" applyFont="1" applyBorder="1" applyAlignment="1">
      <alignment horizontal="center" vertical="center"/>
    </xf>
    <xf numFmtId="166" fontId="23" fillId="0" borderId="12" xfId="1" applyNumberFormat="1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0" fontId="24" fillId="0" borderId="11" xfId="0" quotePrefix="1" applyFont="1" applyBorder="1" applyAlignment="1">
      <alignment horizontal="center" vertical="center"/>
    </xf>
    <xf numFmtId="0" fontId="24" fillId="0" borderId="0" xfId="0" quotePrefix="1" applyFont="1" applyAlignment="1">
      <alignment horizontal="center" vertical="center"/>
    </xf>
    <xf numFmtId="0" fontId="24" fillId="0" borderId="12" xfId="0" quotePrefix="1" applyFont="1" applyBorder="1" applyAlignment="1">
      <alignment horizontal="center" vertical="center"/>
    </xf>
    <xf numFmtId="49" fontId="23" fillId="0" borderId="11" xfId="2" quotePrefix="1" applyNumberFormat="1" applyFont="1" applyBorder="1" applyAlignment="1">
      <alignment horizontal="center" vertical="center"/>
    </xf>
    <xf numFmtId="49" fontId="23" fillId="0" borderId="0" xfId="2" applyNumberFormat="1" applyFont="1" applyBorder="1" applyAlignment="1">
      <alignment horizontal="center" vertical="center"/>
    </xf>
    <xf numFmtId="49" fontId="23" fillId="0" borderId="12" xfId="2" applyNumberFormat="1" applyFont="1" applyBorder="1" applyAlignment="1">
      <alignment horizontal="center" vertical="center"/>
    </xf>
    <xf numFmtId="0" fontId="23" fillId="0" borderId="11" xfId="2" applyNumberFormat="1" applyFont="1" applyBorder="1" applyAlignment="1">
      <alignment horizontal="center" vertical="center"/>
    </xf>
    <xf numFmtId="0" fontId="23" fillId="0" borderId="0" xfId="2" applyNumberFormat="1" applyFont="1" applyBorder="1" applyAlignment="1">
      <alignment horizontal="center" vertical="center"/>
    </xf>
    <xf numFmtId="0" fontId="23" fillId="0" borderId="12" xfId="2" applyNumberFormat="1" applyFont="1" applyBorder="1" applyAlignment="1">
      <alignment horizontal="center" vertical="center"/>
    </xf>
    <xf numFmtId="1" fontId="23" fillId="0" borderId="11" xfId="1" applyNumberFormat="1" applyFont="1" applyBorder="1" applyAlignment="1">
      <alignment horizontal="center" vertical="center"/>
    </xf>
    <xf numFmtId="1" fontId="23" fillId="0" borderId="0" xfId="1" applyNumberFormat="1" applyFont="1" applyBorder="1" applyAlignment="1">
      <alignment horizontal="center" vertical="center"/>
    </xf>
    <xf numFmtId="1" fontId="23" fillId="0" borderId="12" xfId="1" applyNumberFormat="1" applyFont="1" applyBorder="1" applyAlignment="1">
      <alignment horizontal="center" vertical="center"/>
    </xf>
    <xf numFmtId="0" fontId="23" fillId="0" borderId="11" xfId="2" applyNumberFormat="1" applyFont="1" applyFill="1" applyBorder="1" applyAlignment="1">
      <alignment horizontal="center" vertical="center"/>
    </xf>
    <xf numFmtId="0" fontId="23" fillId="0" borderId="0" xfId="2" applyNumberFormat="1" applyFont="1" applyFill="1" applyBorder="1" applyAlignment="1">
      <alignment horizontal="center" vertical="center"/>
    </xf>
    <xf numFmtId="0" fontId="23" fillId="0" borderId="12" xfId="2" applyNumberFormat="1" applyFont="1" applyFill="1" applyBorder="1" applyAlignment="1">
      <alignment horizontal="center" vertical="center"/>
    </xf>
    <xf numFmtId="1" fontId="23" fillId="0" borderId="11" xfId="1" applyNumberFormat="1" applyFont="1" applyFill="1" applyBorder="1" applyAlignment="1">
      <alignment horizontal="center" vertical="center"/>
    </xf>
    <xf numFmtId="1" fontId="23" fillId="0" borderId="0" xfId="1" applyNumberFormat="1" applyFont="1" applyFill="1" applyBorder="1" applyAlignment="1">
      <alignment horizontal="center" vertical="center"/>
    </xf>
    <xf numFmtId="1" fontId="23" fillId="0" borderId="12" xfId="1" applyNumberFormat="1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" fontId="23" fillId="0" borderId="13" xfId="1" applyNumberFormat="1" applyFont="1" applyBorder="1" applyAlignment="1">
      <alignment horizontal="center" vertical="center"/>
    </xf>
    <xf numFmtId="1" fontId="23" fillId="0" borderId="14" xfId="1" applyNumberFormat="1" applyFont="1" applyBorder="1" applyAlignment="1">
      <alignment horizontal="center" vertical="center"/>
    </xf>
    <xf numFmtId="1" fontId="23" fillId="0" borderId="15" xfId="1" applyNumberFormat="1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1" fontId="20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166" fontId="23" fillId="0" borderId="16" xfId="1" applyNumberFormat="1" applyFont="1" applyBorder="1" applyAlignment="1">
      <alignment horizontal="center" vertical="center"/>
    </xf>
    <xf numFmtId="166" fontId="23" fillId="0" borderId="17" xfId="1" applyNumberFormat="1" applyFont="1" applyBorder="1" applyAlignment="1">
      <alignment horizontal="center" vertical="center"/>
    </xf>
    <xf numFmtId="166" fontId="23" fillId="0" borderId="18" xfId="1" applyNumberFormat="1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23" fillId="2" borderId="18" xfId="0" applyFont="1" applyFill="1" applyBorder="1" applyAlignment="1">
      <alignment horizontal="center" vertical="center" wrapText="1"/>
    </xf>
    <xf numFmtId="0" fontId="24" fillId="0" borderId="16" xfId="0" quotePrefix="1" applyFont="1" applyBorder="1" applyAlignment="1">
      <alignment horizontal="center" vertical="center"/>
    </xf>
    <xf numFmtId="0" fontId="24" fillId="0" borderId="17" xfId="0" quotePrefix="1" applyFont="1" applyBorder="1" applyAlignment="1">
      <alignment horizontal="center" vertical="center"/>
    </xf>
    <xf numFmtId="0" fontId="24" fillId="0" borderId="18" xfId="0" quotePrefix="1" applyFont="1" applyBorder="1" applyAlignment="1">
      <alignment horizontal="center" vertical="center"/>
    </xf>
    <xf numFmtId="49" fontId="23" fillId="0" borderId="16" xfId="2" quotePrefix="1" applyNumberFormat="1" applyFont="1" applyBorder="1" applyAlignment="1">
      <alignment horizontal="center" vertical="center"/>
    </xf>
    <xf numFmtId="49" fontId="23" fillId="0" borderId="17" xfId="2" applyNumberFormat="1" applyFont="1" applyBorder="1" applyAlignment="1">
      <alignment horizontal="center" vertical="center"/>
    </xf>
    <xf numFmtId="49" fontId="23" fillId="0" borderId="18" xfId="2" applyNumberFormat="1" applyFont="1" applyBorder="1" applyAlignment="1">
      <alignment horizontal="center" vertical="center"/>
    </xf>
    <xf numFmtId="0" fontId="23" fillId="0" borderId="16" xfId="2" applyNumberFormat="1" applyFont="1" applyBorder="1" applyAlignment="1">
      <alignment horizontal="center" vertical="center"/>
    </xf>
    <xf numFmtId="0" fontId="23" fillId="0" borderId="17" xfId="2" applyNumberFormat="1" applyFont="1" applyBorder="1" applyAlignment="1">
      <alignment horizontal="center" vertical="center"/>
    </xf>
    <xf numFmtId="0" fontId="23" fillId="0" borderId="18" xfId="2" applyNumberFormat="1" applyFont="1" applyBorder="1" applyAlignment="1">
      <alignment horizontal="center" vertical="center"/>
    </xf>
    <xf numFmtId="0" fontId="28" fillId="0" borderId="0" xfId="2" applyNumberFormat="1" applyFont="1" applyBorder="1" applyAlignment="1">
      <alignment horizontal="center" vertical="center"/>
    </xf>
    <xf numFmtId="0" fontId="28" fillId="0" borderId="12" xfId="2" applyNumberFormat="1" applyFont="1" applyBorder="1" applyAlignment="1">
      <alignment horizontal="center" vertical="center"/>
    </xf>
    <xf numFmtId="0" fontId="30" fillId="0" borderId="0" xfId="0" applyFont="1" applyAlignment="1">
      <alignment vertical="center"/>
    </xf>
  </cellXfs>
  <cellStyles count="6">
    <cellStyle name="Hipervínculo" xfId="3" builtinId="8"/>
    <cellStyle name="Millares" xfId="1" builtinId="3"/>
    <cellStyle name="Millares 2" xfId="4" xr:uid="{00000000-0005-0000-0000-000002000000}"/>
    <cellStyle name="Moneda" xfId="2" builtinId="4"/>
    <cellStyle name="Moneda 2" xfId="5" xr:uid="{00000000-0005-0000-0000-000004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228599</xdr:colOff>
      <xdr:row>10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9724" cy="1057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6593</xdr:colOff>
      <xdr:row>10</xdr:row>
      <xdr:rowOff>85202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C8D3B4-F20F-44BE-903F-36281AEB6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395" cy="10681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6593</xdr:colOff>
      <xdr:row>10</xdr:row>
      <xdr:rowOff>85202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988BF6-15FC-4CC1-B23C-49DED398D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395" cy="10681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6593</xdr:colOff>
      <xdr:row>10</xdr:row>
      <xdr:rowOff>85202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DE817A6-BDAE-4059-A97E-7959AD39C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395" cy="10681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6593</xdr:colOff>
      <xdr:row>10</xdr:row>
      <xdr:rowOff>85202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A22095C-EA13-4DBB-8150-E930FA3A5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395" cy="10681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6593</xdr:colOff>
      <xdr:row>10</xdr:row>
      <xdr:rowOff>85202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E042870-0A58-4338-9F8D-1DDC5A0B1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395" cy="10681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6593</xdr:colOff>
      <xdr:row>10</xdr:row>
      <xdr:rowOff>85202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131B4E6-E474-4BCF-86C4-6B63C890C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395" cy="10681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elysse.mx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elysse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BB1282"/>
  <sheetViews>
    <sheetView zoomScale="130" zoomScaleNormal="100" zoomScalePageLayoutView="130" workbookViewId="0">
      <selection activeCell="Y62" sqref="Y62"/>
    </sheetView>
  </sheetViews>
  <sheetFormatPr baseColWidth="10" defaultColWidth="2" defaultRowHeight="8.4" customHeight="1" x14ac:dyDescent="0.3"/>
  <cols>
    <col min="1" max="1" width="3.33203125" style="1" bestFit="1" customWidth="1"/>
    <col min="2" max="9" width="2" style="1"/>
    <col min="10" max="10" width="3.88671875" style="1" customWidth="1"/>
    <col min="11" max="12" width="2" style="1"/>
    <col min="13" max="13" width="3.88671875" style="1" customWidth="1"/>
    <col min="14" max="14" width="1.5546875" style="1" customWidth="1"/>
    <col min="15" max="15" width="1.6640625" style="1" customWidth="1"/>
    <col min="16" max="16" width="2" style="1"/>
    <col min="17" max="33" width="1.5546875" style="1" customWidth="1"/>
    <col min="34" max="34" width="0.44140625" style="1" customWidth="1"/>
    <col min="35" max="35" width="4.6640625" style="1" hidden="1" customWidth="1"/>
    <col min="36" max="36" width="4.33203125" style="1" customWidth="1"/>
    <col min="37" max="40" width="2" style="16"/>
    <col min="41" max="41" width="2" style="16" customWidth="1"/>
    <col min="42" max="43" width="2" style="1"/>
    <col min="44" max="44" width="4.88671875" style="1" customWidth="1"/>
    <col min="45" max="45" width="5.5546875" style="1" bestFit="1" customWidth="1"/>
    <col min="46" max="46" width="2" style="1"/>
    <col min="47" max="47" width="1.5546875" style="1" customWidth="1"/>
    <col min="48" max="48" width="2.5546875" style="1" customWidth="1"/>
    <col min="49" max="49" width="2" style="1" customWidth="1"/>
    <col min="50" max="50" width="1" style="1" customWidth="1"/>
    <col min="51" max="51" width="1.33203125" style="1" customWidth="1"/>
    <col min="52" max="52" width="0.5546875" style="1" customWidth="1"/>
    <col min="53" max="53" width="2" style="1" hidden="1" customWidth="1"/>
    <col min="54" max="54" width="0.109375" style="1" hidden="1" customWidth="1"/>
    <col min="55" max="55" width="5.88671875" style="1" customWidth="1"/>
    <col min="56" max="56" width="1.109375" style="1" customWidth="1"/>
    <col min="57" max="16384" width="2" style="1"/>
  </cols>
  <sheetData>
    <row r="1" spans="1:52" ht="8.4" customHeight="1" x14ac:dyDescent="0.3">
      <c r="A1" s="61" t="s">
        <v>44</v>
      </c>
      <c r="B1" s="61"/>
      <c r="C1" s="61"/>
      <c r="D1" s="61"/>
      <c r="E1" s="61"/>
      <c r="L1" s="62" t="s">
        <v>0</v>
      </c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2"/>
      <c r="AC1" s="2"/>
      <c r="AD1" s="2"/>
      <c r="AE1" s="3"/>
      <c r="AF1" s="63" t="s">
        <v>1</v>
      </c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7" t="s">
        <v>83</v>
      </c>
      <c r="AR1" s="67"/>
      <c r="AS1" s="67"/>
      <c r="AT1" s="67"/>
      <c r="AU1" s="67"/>
      <c r="AV1" s="67"/>
      <c r="AW1" s="67"/>
      <c r="AX1" s="67"/>
      <c r="AY1" s="68"/>
    </row>
    <row r="2" spans="1:52" ht="8.4" customHeight="1" x14ac:dyDescent="0.3"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2"/>
      <c r="AC2" s="2"/>
      <c r="AD2" s="2"/>
      <c r="AE2" s="2"/>
      <c r="AF2" s="65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9"/>
      <c r="AR2" s="69"/>
      <c r="AS2" s="69"/>
      <c r="AT2" s="69"/>
      <c r="AU2" s="69"/>
      <c r="AV2" s="69"/>
      <c r="AW2" s="69"/>
      <c r="AX2" s="69"/>
      <c r="AY2" s="70"/>
    </row>
    <row r="3" spans="1:52" ht="8.4" customHeight="1" x14ac:dyDescent="0.3">
      <c r="K3" s="4"/>
      <c r="L3" s="3" t="s">
        <v>2</v>
      </c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71" t="s">
        <v>40</v>
      </c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3"/>
    </row>
    <row r="4" spans="1:52" ht="8.4" customHeight="1" x14ac:dyDescent="0.3">
      <c r="L4" s="5" t="s">
        <v>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71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3"/>
    </row>
    <row r="5" spans="1:52" ht="8.25" hidden="1" customHeight="1" x14ac:dyDescent="0.3">
      <c r="L5" s="2" t="s">
        <v>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6"/>
      <c r="AF5" s="74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6"/>
    </row>
    <row r="6" spans="1:52" ht="8.4" customHeight="1" x14ac:dyDescent="0.3">
      <c r="L6" s="2" t="s">
        <v>6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84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6"/>
    </row>
    <row r="7" spans="1:52" ht="8.4" customHeight="1" x14ac:dyDescent="0.3">
      <c r="L7" s="2" t="s">
        <v>7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6"/>
      <c r="AF7" s="65" t="s">
        <v>8</v>
      </c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87"/>
    </row>
    <row r="8" spans="1:52" ht="8.4" customHeight="1" x14ac:dyDescent="0.3">
      <c r="L8" s="2" t="s">
        <v>9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84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6"/>
    </row>
    <row r="9" spans="1:52" ht="8.4" customHeight="1" x14ac:dyDescent="0.3">
      <c r="L9" s="2" t="s">
        <v>10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74" t="s">
        <v>41</v>
      </c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6"/>
    </row>
    <row r="10" spans="1:52" ht="10.5" customHeight="1" x14ac:dyDescent="0.3">
      <c r="L10" s="7" t="s">
        <v>12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6"/>
      <c r="AG10" s="9"/>
      <c r="AH10" s="9"/>
      <c r="AI10" s="2"/>
      <c r="AJ10" s="88">
        <v>46256</v>
      </c>
      <c r="AK10" s="88"/>
      <c r="AL10" s="88"/>
      <c r="AM10" s="88"/>
      <c r="AN10" s="88"/>
      <c r="AO10" s="6"/>
      <c r="AP10" s="89">
        <v>0.33333333333333331</v>
      </c>
      <c r="AQ10" s="89"/>
      <c r="AR10" s="89"/>
      <c r="AS10" s="89"/>
      <c r="AT10" s="89"/>
      <c r="AU10" s="10"/>
      <c r="AV10" s="2"/>
      <c r="AW10" s="2"/>
      <c r="AX10" s="2"/>
      <c r="AY10" s="27"/>
    </row>
    <row r="11" spans="1:52" ht="8.4" customHeight="1" x14ac:dyDescent="0.3"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74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6"/>
    </row>
    <row r="12" spans="1:52" ht="8.4" customHeight="1" x14ac:dyDescent="0.3">
      <c r="O12" s="77" t="s">
        <v>13</v>
      </c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F12" s="26"/>
      <c r="AG12" s="9"/>
      <c r="AH12" s="9"/>
      <c r="AI12" s="2"/>
      <c r="AJ12" s="78">
        <f>AJ10</f>
        <v>46256</v>
      </c>
      <c r="AK12" s="78"/>
      <c r="AL12" s="78"/>
      <c r="AM12" s="78"/>
      <c r="AN12" s="78"/>
      <c r="AO12" s="6"/>
      <c r="AP12" s="79">
        <v>0.39583333333333331</v>
      </c>
      <c r="AQ12" s="79"/>
      <c r="AR12" s="79"/>
      <c r="AS12" s="79"/>
      <c r="AT12" s="79"/>
      <c r="AU12" s="10"/>
      <c r="AV12" s="2"/>
      <c r="AW12" s="2"/>
      <c r="AX12" s="2"/>
      <c r="AY12" s="27"/>
    </row>
    <row r="13" spans="1:52" ht="8.4" customHeight="1" x14ac:dyDescent="0.3"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F13" s="43"/>
      <c r="AG13" s="44"/>
      <c r="AH13" s="44"/>
      <c r="AI13" s="44"/>
      <c r="AJ13" s="44"/>
      <c r="AK13" s="45"/>
      <c r="AL13" s="45"/>
      <c r="AM13" s="45"/>
      <c r="AN13" s="45"/>
      <c r="AO13" s="45"/>
      <c r="AP13" s="44"/>
      <c r="AQ13" s="44"/>
      <c r="AR13" s="44"/>
      <c r="AS13" s="44"/>
      <c r="AT13" s="44"/>
      <c r="AU13" s="44"/>
      <c r="AV13" s="44"/>
      <c r="AW13" s="44"/>
      <c r="AX13" s="44"/>
      <c r="AY13" s="46"/>
    </row>
    <row r="14" spans="1:52" ht="8.4" customHeight="1" x14ac:dyDescent="0.3"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</row>
    <row r="15" spans="1:52" s="19" customFormat="1" ht="11.25" customHeight="1" x14ac:dyDescent="0.3">
      <c r="A15" s="80" t="s">
        <v>14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17"/>
      <c r="O15" s="18"/>
      <c r="Q15" s="20"/>
      <c r="R15" s="20"/>
      <c r="S15" s="20"/>
      <c r="T15" s="20"/>
      <c r="U15" s="20"/>
      <c r="Y15" s="20"/>
      <c r="AA15" s="20"/>
      <c r="AB15" s="20"/>
      <c r="AC15" s="20"/>
      <c r="AD15" s="20"/>
      <c r="AE15" s="20"/>
      <c r="AF15" s="20"/>
      <c r="AG15" s="20"/>
      <c r="AH15" s="20"/>
      <c r="AI15" s="20"/>
      <c r="AJ15" s="81" t="s">
        <v>15</v>
      </c>
      <c r="AK15" s="81"/>
      <c r="AL15" s="81"/>
      <c r="AM15" s="81"/>
      <c r="AN15" s="81"/>
      <c r="AO15" s="81"/>
      <c r="AP15" s="81"/>
      <c r="AQ15" s="81"/>
      <c r="AR15" s="82">
        <f>AJ12</f>
        <v>46256</v>
      </c>
      <c r="AS15" s="82"/>
      <c r="AT15" s="82"/>
      <c r="AU15" s="82"/>
      <c r="AV15" s="82"/>
      <c r="AW15" s="82"/>
      <c r="AX15" s="82"/>
      <c r="AY15" s="82"/>
      <c r="AZ15" s="82"/>
    </row>
    <row r="16" spans="1:52" s="19" customFormat="1" ht="11.25" customHeight="1" x14ac:dyDescent="0.3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17"/>
      <c r="O16" s="21" t="s">
        <v>16</v>
      </c>
      <c r="Q16" s="20"/>
      <c r="R16" s="20"/>
      <c r="S16" s="20"/>
      <c r="T16" s="20"/>
      <c r="U16" s="20"/>
      <c r="X16" s="83" t="s">
        <v>39</v>
      </c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20"/>
      <c r="AJ16" s="20"/>
      <c r="AK16" s="22"/>
      <c r="AL16" s="23"/>
      <c r="AM16" s="23"/>
      <c r="AN16" s="23"/>
      <c r="AO16" s="23"/>
      <c r="AP16" s="20"/>
      <c r="AQ16" s="20"/>
      <c r="AS16" s="20"/>
      <c r="AU16" s="20"/>
      <c r="AV16" s="20"/>
      <c r="AW16" s="20"/>
      <c r="AX16" s="20"/>
      <c r="AY16" s="20"/>
    </row>
    <row r="17" spans="1:54" s="19" customFormat="1" ht="11.25" customHeight="1" x14ac:dyDescent="0.3">
      <c r="A17" s="18" t="s">
        <v>18</v>
      </c>
      <c r="B17" s="20"/>
      <c r="C17" s="20"/>
      <c r="D17" s="20"/>
      <c r="E17" s="90" t="s">
        <v>2</v>
      </c>
      <c r="F17" s="90"/>
      <c r="G17" s="90"/>
      <c r="H17" s="90"/>
      <c r="I17" s="90"/>
      <c r="J17" s="90"/>
      <c r="K17" s="90"/>
      <c r="L17" s="90"/>
      <c r="M17" s="90"/>
      <c r="N17" s="20"/>
      <c r="O17" s="18"/>
      <c r="Q17" s="20"/>
      <c r="R17" s="20"/>
      <c r="S17" s="20"/>
      <c r="T17" s="20"/>
      <c r="U17" s="20"/>
      <c r="W17" s="20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20"/>
      <c r="AJ17" s="20"/>
      <c r="AK17" s="22"/>
      <c r="AL17" s="23"/>
      <c r="AM17" s="23"/>
      <c r="AN17" s="23"/>
      <c r="AO17" s="23"/>
      <c r="AP17" s="20"/>
      <c r="AQ17" s="20"/>
      <c r="AS17" s="24"/>
      <c r="AT17" s="24"/>
      <c r="AU17" s="24"/>
      <c r="AV17" s="20"/>
      <c r="AW17" s="20"/>
      <c r="AX17" s="20"/>
      <c r="AY17" s="20"/>
    </row>
    <row r="18" spans="1:54" s="19" customFormat="1" ht="11.25" customHeight="1" x14ac:dyDescent="0.3">
      <c r="A18" s="18"/>
      <c r="B18" s="20"/>
      <c r="C18" s="20"/>
      <c r="D18" s="20"/>
      <c r="E18" s="90"/>
      <c r="F18" s="90"/>
      <c r="G18" s="90"/>
      <c r="H18" s="90"/>
      <c r="I18" s="90"/>
      <c r="J18" s="90"/>
      <c r="K18" s="90"/>
      <c r="L18" s="90"/>
      <c r="M18" s="90"/>
      <c r="N18" s="20"/>
      <c r="O18" s="18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4"/>
      <c r="AL18" s="24"/>
      <c r="AM18" s="24"/>
      <c r="AN18" s="24"/>
      <c r="AO18" s="24"/>
      <c r="AP18" s="20"/>
      <c r="AQ18" s="20"/>
      <c r="AR18" s="20"/>
      <c r="AS18" s="20"/>
      <c r="AT18" s="20"/>
      <c r="AU18" s="20"/>
      <c r="AV18" s="20"/>
      <c r="AW18" s="20"/>
      <c r="AX18" s="20"/>
      <c r="AY18" s="20"/>
    </row>
    <row r="19" spans="1:54" s="19" customFormat="1" ht="11.25" customHeight="1" x14ac:dyDescent="0.3">
      <c r="A19" s="20"/>
      <c r="B19" s="20"/>
      <c r="C19" s="20"/>
      <c r="D19" s="20"/>
      <c r="E19" s="90"/>
      <c r="F19" s="90"/>
      <c r="G19" s="90"/>
      <c r="H19" s="90"/>
      <c r="I19" s="90"/>
      <c r="J19" s="90"/>
      <c r="K19" s="90"/>
      <c r="L19" s="90"/>
      <c r="M19" s="90"/>
      <c r="N19" s="20"/>
      <c r="O19" s="20"/>
      <c r="P19" s="20" t="s">
        <v>35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4"/>
      <c r="AL19" s="24"/>
      <c r="AM19" s="24"/>
      <c r="AN19" s="24"/>
      <c r="AO19" s="24"/>
      <c r="AP19" s="20"/>
      <c r="AQ19" s="20"/>
      <c r="AR19" s="20"/>
      <c r="AS19" s="20"/>
      <c r="AT19" s="20"/>
      <c r="AU19" s="20"/>
      <c r="AV19" s="20"/>
      <c r="AW19" s="20"/>
      <c r="AX19" s="20"/>
      <c r="AY19" s="20"/>
    </row>
    <row r="20" spans="1:54" s="19" customFormat="1" ht="11.25" customHeight="1" x14ac:dyDescent="0.3"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K20" s="23"/>
      <c r="AL20" s="23"/>
      <c r="AM20" s="23"/>
      <c r="AN20" s="23"/>
      <c r="AO20" s="23"/>
    </row>
    <row r="21" spans="1:54" s="19" customFormat="1" ht="11.25" customHeight="1" x14ac:dyDescent="0.3">
      <c r="A21" s="91" t="s">
        <v>19</v>
      </c>
      <c r="B21" s="91"/>
      <c r="C21" s="91"/>
      <c r="D21" s="91"/>
      <c r="E21" s="91"/>
      <c r="F21" s="92" t="s">
        <v>20</v>
      </c>
      <c r="G21" s="92"/>
      <c r="H21" s="92"/>
      <c r="I21" s="92"/>
      <c r="J21" s="92"/>
      <c r="K21" s="91" t="s">
        <v>37</v>
      </c>
      <c r="L21" s="91"/>
      <c r="M21" s="91"/>
      <c r="N21" s="91"/>
      <c r="O21" s="91"/>
      <c r="P21" s="91" t="s">
        <v>38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103" t="s">
        <v>22</v>
      </c>
      <c r="AL21" s="103"/>
      <c r="AM21" s="103"/>
      <c r="AN21" s="103"/>
      <c r="AO21" s="103"/>
      <c r="AP21" s="91" t="s">
        <v>23</v>
      </c>
      <c r="AQ21" s="91"/>
      <c r="AR21" s="91"/>
      <c r="AS21" s="104" t="s">
        <v>36</v>
      </c>
      <c r="AT21" s="104"/>
      <c r="AU21" s="104"/>
      <c r="AV21" s="104"/>
      <c r="AW21" s="104"/>
      <c r="AX21" s="104"/>
      <c r="AY21" s="104"/>
      <c r="AZ21" s="104"/>
      <c r="BA21" s="104"/>
      <c r="BB21" s="104"/>
    </row>
    <row r="22" spans="1:54" s="19" customFormat="1" ht="11.25" customHeight="1" x14ac:dyDescent="0.3">
      <c r="A22" s="91"/>
      <c r="B22" s="91"/>
      <c r="C22" s="91"/>
      <c r="D22" s="91"/>
      <c r="E22" s="91"/>
      <c r="F22" s="92"/>
      <c r="G22" s="92"/>
      <c r="H22" s="92"/>
      <c r="I22" s="92"/>
      <c r="J22" s="92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103"/>
      <c r="AL22" s="103"/>
      <c r="AM22" s="103"/>
      <c r="AN22" s="103"/>
      <c r="AO22" s="103"/>
      <c r="AP22" s="91"/>
      <c r="AQ22" s="91"/>
      <c r="AR22" s="91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</row>
    <row r="23" spans="1:54" s="19" customFormat="1" ht="11.25" customHeight="1" x14ac:dyDescent="0.3">
      <c r="A23" s="91"/>
      <c r="B23" s="91"/>
      <c r="C23" s="91"/>
      <c r="D23" s="91"/>
      <c r="E23" s="91"/>
      <c r="F23" s="92"/>
      <c r="G23" s="92"/>
      <c r="H23" s="92"/>
      <c r="I23" s="92"/>
      <c r="J23" s="92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103"/>
      <c r="AL23" s="103"/>
      <c r="AM23" s="103"/>
      <c r="AN23" s="103"/>
      <c r="AO23" s="103"/>
      <c r="AP23" s="91"/>
      <c r="AQ23" s="91"/>
      <c r="AR23" s="91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</row>
    <row r="24" spans="1:54" s="19" customFormat="1" ht="11.25" customHeight="1" x14ac:dyDescent="0.3">
      <c r="A24" s="132">
        <v>360</v>
      </c>
      <c r="B24" s="66"/>
      <c r="C24" s="66"/>
      <c r="D24" s="66"/>
      <c r="E24" s="66"/>
      <c r="F24" s="124" t="s">
        <v>77</v>
      </c>
      <c r="G24" s="124"/>
      <c r="H24" s="124"/>
      <c r="I24" s="124"/>
      <c r="J24" s="124"/>
      <c r="K24" s="66" t="s">
        <v>78</v>
      </c>
      <c r="L24" s="66"/>
      <c r="M24" s="66"/>
      <c r="N24" s="66"/>
      <c r="O24" s="66"/>
      <c r="P24" s="66" t="s">
        <v>79</v>
      </c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107" t="s">
        <v>84</v>
      </c>
      <c r="AL24" s="107"/>
      <c r="AM24" s="107"/>
      <c r="AN24" s="107"/>
      <c r="AO24" s="107"/>
      <c r="AP24" s="107" t="s">
        <v>85</v>
      </c>
      <c r="AQ24" s="107"/>
      <c r="AR24" s="107"/>
      <c r="AS24" s="105" t="s">
        <v>80</v>
      </c>
      <c r="AT24" s="105"/>
      <c r="AU24" s="105"/>
      <c r="AV24" s="105"/>
      <c r="AW24" s="105"/>
      <c r="AX24" s="105"/>
      <c r="AY24" s="105"/>
      <c r="AZ24" s="105"/>
      <c r="BA24" s="59"/>
      <c r="BB24" s="60"/>
    </row>
    <row r="25" spans="1:54" s="19" customFormat="1" ht="11.25" customHeight="1" x14ac:dyDescent="0.3">
      <c r="A25" s="132">
        <v>630</v>
      </c>
      <c r="B25" s="66"/>
      <c r="C25" s="66"/>
      <c r="D25" s="66"/>
      <c r="E25" s="66"/>
      <c r="F25" s="124" t="s">
        <v>86</v>
      </c>
      <c r="G25" s="124"/>
      <c r="H25" s="124"/>
      <c r="I25" s="124"/>
      <c r="J25" s="124"/>
      <c r="K25" s="66" t="s">
        <v>87</v>
      </c>
      <c r="L25" s="66"/>
      <c r="M25" s="66"/>
      <c r="N25" s="66"/>
      <c r="O25" s="66"/>
      <c r="P25" s="66" t="s">
        <v>88</v>
      </c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107" t="s">
        <v>84</v>
      </c>
      <c r="AL25" s="107"/>
      <c r="AM25" s="107"/>
      <c r="AN25" s="107"/>
      <c r="AO25" s="107"/>
      <c r="AP25" s="107" t="s">
        <v>89</v>
      </c>
      <c r="AQ25" s="107"/>
      <c r="AR25" s="107"/>
      <c r="AS25" s="105" t="s">
        <v>90</v>
      </c>
      <c r="AT25" s="105"/>
      <c r="AU25" s="105"/>
      <c r="AV25" s="105"/>
      <c r="AW25" s="105"/>
      <c r="AX25" s="105"/>
      <c r="AY25" s="105"/>
      <c r="AZ25" s="105"/>
      <c r="BA25" s="51"/>
      <c r="BB25" s="49"/>
    </row>
    <row r="26" spans="1:54" s="19" customFormat="1" ht="11.25" customHeight="1" x14ac:dyDescent="0.3">
      <c r="A26" s="65"/>
      <c r="B26" s="66"/>
      <c r="C26" s="66"/>
      <c r="D26" s="66"/>
      <c r="E26" s="66"/>
      <c r="F26" s="124"/>
      <c r="G26" s="124"/>
      <c r="H26" s="124"/>
      <c r="I26" s="124"/>
      <c r="J26" s="124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107"/>
      <c r="AL26" s="107"/>
      <c r="AM26" s="107"/>
      <c r="AN26" s="107"/>
      <c r="AO26" s="107"/>
      <c r="AP26" s="107"/>
      <c r="AQ26" s="107"/>
      <c r="AR26" s="107"/>
      <c r="AS26" s="105"/>
      <c r="AT26" s="105"/>
      <c r="AU26" s="105"/>
      <c r="AV26" s="105"/>
      <c r="AW26" s="105"/>
      <c r="AX26" s="105"/>
      <c r="AY26" s="105"/>
      <c r="AZ26" s="106"/>
      <c r="BA26" s="51"/>
      <c r="BB26" s="49"/>
    </row>
    <row r="27" spans="1:54" s="19" customFormat="1" ht="11.25" customHeight="1" x14ac:dyDescent="0.3">
      <c r="A27" s="65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107"/>
      <c r="AL27" s="107"/>
      <c r="AM27" s="107"/>
      <c r="AN27" s="107"/>
      <c r="AO27" s="107"/>
      <c r="AP27" s="107"/>
      <c r="AQ27" s="107"/>
      <c r="AR27" s="107"/>
      <c r="AS27" s="105"/>
      <c r="AT27" s="105"/>
      <c r="AU27" s="105"/>
      <c r="AV27" s="105"/>
      <c r="AW27" s="105"/>
      <c r="AX27" s="105"/>
      <c r="AY27" s="105"/>
      <c r="AZ27" s="106"/>
      <c r="BA27" s="51"/>
      <c r="BB27" s="49"/>
    </row>
    <row r="28" spans="1:54" s="19" customFormat="1" ht="11.25" customHeight="1" x14ac:dyDescent="0.3">
      <c r="A28" s="65"/>
      <c r="B28" s="66"/>
      <c r="C28" s="66"/>
      <c r="D28" s="66"/>
      <c r="E28" s="66"/>
      <c r="F28" s="124"/>
      <c r="G28" s="124"/>
      <c r="H28" s="124"/>
      <c r="I28" s="124"/>
      <c r="J28" s="124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107"/>
      <c r="AL28" s="107"/>
      <c r="AM28" s="107"/>
      <c r="AN28" s="107"/>
      <c r="AO28" s="107"/>
      <c r="AP28" s="107"/>
      <c r="AQ28" s="107"/>
      <c r="AR28" s="107"/>
      <c r="AS28" s="105"/>
      <c r="AT28" s="105"/>
      <c r="AU28" s="105"/>
      <c r="AV28" s="105"/>
      <c r="AW28" s="105"/>
      <c r="AX28" s="105"/>
      <c r="AY28" s="105"/>
      <c r="AZ28" s="106"/>
      <c r="BA28" s="51"/>
      <c r="BB28" s="49"/>
    </row>
    <row r="29" spans="1:54" s="19" customFormat="1" ht="11.25" customHeight="1" x14ac:dyDescent="0.3">
      <c r="A29" s="65"/>
      <c r="B29" s="66"/>
      <c r="C29" s="66"/>
      <c r="D29" s="66"/>
      <c r="E29" s="66"/>
      <c r="F29" s="124"/>
      <c r="G29" s="124"/>
      <c r="H29" s="124"/>
      <c r="I29" s="124"/>
      <c r="J29" s="124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107"/>
      <c r="AL29" s="107"/>
      <c r="AM29" s="107"/>
      <c r="AN29" s="107"/>
      <c r="AO29" s="107"/>
      <c r="AP29" s="107"/>
      <c r="AQ29" s="107"/>
      <c r="AR29" s="107"/>
      <c r="AS29" s="105"/>
      <c r="AT29" s="105"/>
      <c r="AU29" s="105"/>
      <c r="AV29" s="105"/>
      <c r="AW29" s="105"/>
      <c r="AX29" s="105"/>
      <c r="AY29" s="105"/>
      <c r="AZ29" s="106"/>
      <c r="BA29" s="51"/>
      <c r="BB29" s="49"/>
    </row>
    <row r="30" spans="1:54" s="19" customFormat="1" ht="11.25" customHeight="1" x14ac:dyDescent="0.3">
      <c r="A30" s="65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107"/>
      <c r="AL30" s="107"/>
      <c r="AM30" s="107"/>
      <c r="AN30" s="107"/>
      <c r="AO30" s="107"/>
      <c r="AP30" s="107"/>
      <c r="AQ30" s="107"/>
      <c r="AR30" s="107"/>
      <c r="AS30" s="105"/>
      <c r="AT30" s="105"/>
      <c r="AU30" s="105"/>
      <c r="AV30" s="105"/>
      <c r="AW30" s="105"/>
      <c r="AX30" s="105"/>
      <c r="AY30" s="105"/>
      <c r="AZ30" s="106"/>
      <c r="BA30" s="51"/>
      <c r="BB30" s="49"/>
    </row>
    <row r="31" spans="1:54" s="19" customFormat="1" ht="11.25" customHeight="1" x14ac:dyDescent="0.3">
      <c r="A31" s="65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107"/>
      <c r="AL31" s="107"/>
      <c r="AM31" s="107"/>
      <c r="AN31" s="107"/>
      <c r="AO31" s="107"/>
      <c r="AP31" s="107"/>
      <c r="AQ31" s="107"/>
      <c r="AR31" s="107"/>
      <c r="AS31" s="105"/>
      <c r="AT31" s="105"/>
      <c r="AU31" s="105"/>
      <c r="AV31" s="105"/>
      <c r="AW31" s="105"/>
      <c r="AX31" s="105"/>
      <c r="AY31" s="105"/>
      <c r="AZ31" s="106"/>
      <c r="BA31" s="51"/>
      <c r="BB31" s="49"/>
    </row>
    <row r="32" spans="1:54" s="19" customFormat="1" ht="11.25" customHeight="1" x14ac:dyDescent="0.3">
      <c r="A32" s="65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107"/>
      <c r="AL32" s="107"/>
      <c r="AM32" s="107"/>
      <c r="AN32" s="107"/>
      <c r="AO32" s="107"/>
      <c r="AP32" s="107"/>
      <c r="AQ32" s="107"/>
      <c r="AR32" s="107"/>
      <c r="AS32" s="105"/>
      <c r="AT32" s="105"/>
      <c r="AU32" s="105"/>
      <c r="AV32" s="105"/>
      <c r="AW32" s="105"/>
      <c r="AX32" s="105"/>
      <c r="AY32" s="105"/>
      <c r="AZ32" s="106"/>
      <c r="BA32" s="51"/>
      <c r="BB32" s="49"/>
    </row>
    <row r="33" spans="1:54" s="19" customFormat="1" ht="11.25" customHeight="1" x14ac:dyDescent="0.3">
      <c r="A33" s="65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7"/>
      <c r="AL33" s="107"/>
      <c r="AM33" s="107"/>
      <c r="AN33" s="107"/>
      <c r="AO33" s="107"/>
      <c r="AP33" s="107"/>
      <c r="AQ33" s="107"/>
      <c r="AR33" s="107"/>
      <c r="AS33" s="105"/>
      <c r="AT33" s="105"/>
      <c r="AU33" s="105"/>
      <c r="AV33" s="105"/>
      <c r="AW33" s="105"/>
      <c r="AX33" s="105"/>
      <c r="AY33" s="105"/>
      <c r="AZ33" s="106"/>
      <c r="BA33" s="51"/>
      <c r="BB33" s="49"/>
    </row>
    <row r="34" spans="1:54" s="19" customFormat="1" ht="11.25" customHeight="1" x14ac:dyDescent="0.3">
      <c r="A34" s="65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107"/>
      <c r="AL34" s="107"/>
      <c r="AM34" s="107"/>
      <c r="AN34" s="107"/>
      <c r="AO34" s="107"/>
      <c r="AP34" s="107"/>
      <c r="AQ34" s="107"/>
      <c r="AR34" s="107"/>
      <c r="AS34" s="105"/>
      <c r="AT34" s="105"/>
      <c r="AU34" s="105"/>
      <c r="AV34" s="105"/>
      <c r="AW34" s="105"/>
      <c r="AX34" s="105"/>
      <c r="AY34" s="105"/>
      <c r="AZ34" s="106"/>
      <c r="BA34" s="51"/>
      <c r="BB34" s="49"/>
    </row>
    <row r="35" spans="1:54" s="19" customFormat="1" ht="11.25" customHeight="1" x14ac:dyDescent="0.3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107"/>
      <c r="AL35" s="107"/>
      <c r="AM35" s="107"/>
      <c r="AN35" s="107"/>
      <c r="AO35" s="107"/>
      <c r="AP35" s="107"/>
      <c r="AQ35" s="107"/>
      <c r="AR35" s="107"/>
      <c r="AS35" s="105"/>
      <c r="AT35" s="105"/>
      <c r="AU35" s="105"/>
      <c r="AV35" s="105"/>
      <c r="AW35" s="105"/>
      <c r="AX35" s="105"/>
      <c r="AY35" s="105"/>
      <c r="AZ35" s="106"/>
      <c r="BA35" s="51"/>
      <c r="BB35" s="49"/>
    </row>
    <row r="36" spans="1:54" s="19" customFormat="1" ht="11.25" customHeight="1" x14ac:dyDescent="0.3">
      <c r="A36" s="65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107"/>
      <c r="AL36" s="107"/>
      <c r="AM36" s="107"/>
      <c r="AN36" s="107"/>
      <c r="AO36" s="107"/>
      <c r="AP36" s="107"/>
      <c r="AQ36" s="107"/>
      <c r="AR36" s="107"/>
      <c r="AS36" s="105"/>
      <c r="AT36" s="105"/>
      <c r="AU36" s="105"/>
      <c r="AV36" s="105"/>
      <c r="AW36" s="105"/>
      <c r="AX36" s="105"/>
      <c r="AY36" s="105"/>
      <c r="AZ36" s="106"/>
      <c r="BA36" s="51"/>
      <c r="BB36" s="49"/>
    </row>
    <row r="37" spans="1:54" s="19" customFormat="1" ht="11.25" customHeight="1" x14ac:dyDescent="0.3">
      <c r="A37" s="65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107"/>
      <c r="AL37" s="107"/>
      <c r="AM37" s="107"/>
      <c r="AN37" s="107"/>
      <c r="AO37" s="107"/>
      <c r="AP37" s="107"/>
      <c r="AQ37" s="107"/>
      <c r="AR37" s="107"/>
      <c r="AS37" s="105"/>
      <c r="AT37" s="105"/>
      <c r="AU37" s="105"/>
      <c r="AV37" s="105"/>
      <c r="AW37" s="105"/>
      <c r="AX37" s="105"/>
      <c r="AY37" s="105"/>
      <c r="AZ37" s="106"/>
      <c r="BA37" s="51"/>
      <c r="BB37" s="49"/>
    </row>
    <row r="38" spans="1:54" s="19" customFormat="1" ht="11.25" customHeight="1" x14ac:dyDescent="0.3">
      <c r="A38" s="65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107"/>
      <c r="AL38" s="107"/>
      <c r="AM38" s="107"/>
      <c r="AN38" s="107"/>
      <c r="AO38" s="107"/>
      <c r="AP38" s="107"/>
      <c r="AQ38" s="107"/>
      <c r="AR38" s="107"/>
      <c r="AS38" s="105"/>
      <c r="AT38" s="105"/>
      <c r="AU38" s="105"/>
      <c r="AV38" s="105"/>
      <c r="AW38" s="105"/>
      <c r="AX38" s="105"/>
      <c r="AY38" s="105"/>
      <c r="AZ38" s="106"/>
      <c r="BA38" s="51"/>
      <c r="BB38" s="49"/>
    </row>
    <row r="39" spans="1:54" s="19" customFormat="1" ht="11.25" customHeight="1" x14ac:dyDescent="0.3">
      <c r="A39" s="6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107"/>
      <c r="AL39" s="107"/>
      <c r="AM39" s="107"/>
      <c r="AN39" s="107"/>
      <c r="AO39" s="107"/>
      <c r="AP39" s="107"/>
      <c r="AQ39" s="107"/>
      <c r="AR39" s="107"/>
      <c r="AS39" s="105"/>
      <c r="AT39" s="105"/>
      <c r="AU39" s="105"/>
      <c r="AV39" s="105"/>
      <c r="AW39" s="105"/>
      <c r="AX39" s="105"/>
      <c r="AY39" s="105"/>
      <c r="AZ39" s="106"/>
      <c r="BA39" s="51"/>
      <c r="BB39" s="49"/>
    </row>
    <row r="40" spans="1:54" s="19" customFormat="1" ht="11.25" customHeight="1" x14ac:dyDescent="0.3">
      <c r="A40" s="65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107"/>
      <c r="AL40" s="107"/>
      <c r="AM40" s="107"/>
      <c r="AN40" s="107"/>
      <c r="AO40" s="107"/>
      <c r="AP40" s="107"/>
      <c r="AQ40" s="107"/>
      <c r="AR40" s="107"/>
      <c r="AS40" s="105"/>
      <c r="AT40" s="105"/>
      <c r="AU40" s="105"/>
      <c r="AV40" s="105"/>
      <c r="AW40" s="105"/>
      <c r="AX40" s="105"/>
      <c r="AY40" s="105"/>
      <c r="AZ40" s="106"/>
      <c r="BA40" s="51"/>
      <c r="BB40" s="49"/>
    </row>
    <row r="41" spans="1:54" s="19" customFormat="1" ht="11.25" customHeight="1" x14ac:dyDescent="0.3">
      <c r="A41" s="65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107"/>
      <c r="AL41" s="107"/>
      <c r="AM41" s="107"/>
      <c r="AN41" s="107"/>
      <c r="AO41" s="107"/>
      <c r="AP41" s="107"/>
      <c r="AQ41" s="107"/>
      <c r="AR41" s="107"/>
      <c r="AS41" s="105"/>
      <c r="AT41" s="105"/>
      <c r="AU41" s="105"/>
      <c r="AV41" s="105"/>
      <c r="AW41" s="105"/>
      <c r="AX41" s="105"/>
      <c r="AY41" s="105"/>
      <c r="AZ41" s="106"/>
      <c r="BA41" s="51"/>
      <c r="BB41" s="49"/>
    </row>
    <row r="42" spans="1:54" s="19" customFormat="1" ht="11.25" customHeight="1" x14ac:dyDescent="0.3">
      <c r="A42" s="65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107"/>
      <c r="AL42" s="107"/>
      <c r="AM42" s="107"/>
      <c r="AN42" s="107"/>
      <c r="AO42" s="107"/>
      <c r="AP42" s="107"/>
      <c r="AQ42" s="107"/>
      <c r="AR42" s="107"/>
      <c r="AS42" s="105"/>
      <c r="AT42" s="105"/>
      <c r="AU42" s="105"/>
      <c r="AV42" s="105"/>
      <c r="AW42" s="105"/>
      <c r="AX42" s="105"/>
      <c r="AY42" s="105"/>
      <c r="AZ42" s="106"/>
      <c r="BA42" s="51"/>
      <c r="BB42" s="49"/>
    </row>
    <row r="43" spans="1:54" s="19" customFormat="1" ht="11.25" customHeight="1" x14ac:dyDescent="0.3">
      <c r="A43" s="65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107"/>
      <c r="AL43" s="107"/>
      <c r="AM43" s="107"/>
      <c r="AN43" s="107"/>
      <c r="AO43" s="107"/>
      <c r="AP43" s="107"/>
      <c r="AQ43" s="107"/>
      <c r="AR43" s="107"/>
      <c r="AS43" s="105"/>
      <c r="AT43" s="105"/>
      <c r="AU43" s="105"/>
      <c r="AV43" s="105"/>
      <c r="AW43" s="105"/>
      <c r="AX43" s="105"/>
      <c r="AY43" s="105"/>
      <c r="AZ43" s="106"/>
      <c r="BA43" s="51"/>
      <c r="BB43" s="49"/>
    </row>
    <row r="44" spans="1:54" s="19" customFormat="1" ht="11.25" customHeight="1" x14ac:dyDescent="0.3">
      <c r="A44" s="65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107"/>
      <c r="AL44" s="107"/>
      <c r="AM44" s="107"/>
      <c r="AN44" s="107"/>
      <c r="AO44" s="107"/>
      <c r="AP44" s="107"/>
      <c r="AQ44" s="107"/>
      <c r="AR44" s="107"/>
      <c r="AS44" s="105"/>
      <c r="AT44" s="105"/>
      <c r="AU44" s="105"/>
      <c r="AV44" s="105"/>
      <c r="AW44" s="105"/>
      <c r="AX44" s="105"/>
      <c r="AY44" s="105"/>
      <c r="AZ44" s="106"/>
      <c r="BA44" s="51"/>
      <c r="BB44" s="49"/>
    </row>
    <row r="45" spans="1:54" s="19" customFormat="1" ht="11.25" customHeight="1" x14ac:dyDescent="0.3">
      <c r="A45" s="65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107"/>
      <c r="AL45" s="107"/>
      <c r="AM45" s="107"/>
      <c r="AN45" s="107"/>
      <c r="AO45" s="107"/>
      <c r="AP45" s="107"/>
      <c r="AQ45" s="107"/>
      <c r="AR45" s="107"/>
      <c r="AS45" s="105"/>
      <c r="AT45" s="105"/>
      <c r="AU45" s="105"/>
      <c r="AV45" s="105"/>
      <c r="AW45" s="105"/>
      <c r="AX45" s="105"/>
      <c r="AY45" s="105"/>
      <c r="AZ45" s="106"/>
      <c r="BA45" s="51"/>
      <c r="BB45" s="49"/>
    </row>
    <row r="46" spans="1:54" s="19" customFormat="1" ht="11.25" customHeight="1" x14ac:dyDescent="0.3">
      <c r="A46" s="65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107"/>
      <c r="AL46" s="107"/>
      <c r="AM46" s="107"/>
      <c r="AN46" s="107"/>
      <c r="AO46" s="107"/>
      <c r="AP46" s="107"/>
      <c r="AQ46" s="107"/>
      <c r="AR46" s="107"/>
      <c r="AS46" s="105"/>
      <c r="AT46" s="105"/>
      <c r="AU46" s="105"/>
      <c r="AV46" s="105"/>
      <c r="AW46" s="105"/>
      <c r="AX46" s="105"/>
      <c r="AY46" s="105"/>
      <c r="AZ46" s="106"/>
      <c r="BA46" s="51"/>
      <c r="BB46" s="49"/>
    </row>
    <row r="47" spans="1:54" s="19" customFormat="1" ht="11.25" customHeight="1" x14ac:dyDescent="0.3">
      <c r="A47" s="65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107"/>
      <c r="AL47" s="107"/>
      <c r="AM47" s="107"/>
      <c r="AN47" s="107"/>
      <c r="AO47" s="107"/>
      <c r="AP47" s="107"/>
      <c r="AQ47" s="107"/>
      <c r="AR47" s="107"/>
      <c r="AS47" s="105"/>
      <c r="AT47" s="105"/>
      <c r="AU47" s="105"/>
      <c r="AV47" s="105"/>
      <c r="AW47" s="105"/>
      <c r="AX47" s="105"/>
      <c r="AY47" s="105"/>
      <c r="AZ47" s="106"/>
      <c r="BA47" s="51"/>
      <c r="BB47" s="49"/>
    </row>
    <row r="48" spans="1:54" s="19" customFormat="1" ht="11.25" customHeight="1" x14ac:dyDescent="0.3">
      <c r="A48" s="65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107"/>
      <c r="AL48" s="107"/>
      <c r="AM48" s="107"/>
      <c r="AN48" s="107"/>
      <c r="AO48" s="107"/>
      <c r="AP48" s="107"/>
      <c r="AQ48" s="107"/>
      <c r="AR48" s="107"/>
      <c r="AS48" s="105"/>
      <c r="AT48" s="105"/>
      <c r="AU48" s="105"/>
      <c r="AV48" s="105"/>
      <c r="AW48" s="105"/>
      <c r="AX48" s="105"/>
      <c r="AY48" s="105"/>
      <c r="AZ48" s="106"/>
      <c r="BA48" s="51"/>
      <c r="BB48" s="49"/>
    </row>
    <row r="49" spans="1:54" s="19" customFormat="1" ht="11.25" customHeight="1" x14ac:dyDescent="0.3">
      <c r="A49" s="65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107"/>
      <c r="AL49" s="107"/>
      <c r="AM49" s="107"/>
      <c r="AN49" s="107"/>
      <c r="AO49" s="107"/>
      <c r="AP49" s="107"/>
      <c r="AQ49" s="107"/>
      <c r="AR49" s="107"/>
      <c r="AS49" s="105"/>
      <c r="AT49" s="105"/>
      <c r="AU49" s="105"/>
      <c r="AV49" s="105"/>
      <c r="AW49" s="105"/>
      <c r="AX49" s="105"/>
      <c r="AY49" s="105"/>
      <c r="AZ49" s="106"/>
      <c r="BA49" s="51"/>
      <c r="BB49" s="49"/>
    </row>
    <row r="50" spans="1:54" s="19" customFormat="1" ht="11.25" customHeight="1" x14ac:dyDescent="0.3">
      <c r="A50" s="65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107"/>
      <c r="AL50" s="107"/>
      <c r="AM50" s="107"/>
      <c r="AN50" s="107"/>
      <c r="AO50" s="107"/>
      <c r="AP50" s="107"/>
      <c r="AQ50" s="107"/>
      <c r="AR50" s="107"/>
      <c r="AS50" s="105"/>
      <c r="AT50" s="105"/>
      <c r="AU50" s="105"/>
      <c r="AV50" s="105"/>
      <c r="AW50" s="105"/>
      <c r="AX50" s="105"/>
      <c r="AY50" s="105"/>
      <c r="AZ50" s="106"/>
      <c r="BA50" s="51"/>
      <c r="BB50" s="49"/>
    </row>
    <row r="51" spans="1:54" s="19" customFormat="1" ht="11.25" customHeight="1" x14ac:dyDescent="0.3">
      <c r="A51" s="65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107"/>
      <c r="AL51" s="107"/>
      <c r="AM51" s="107"/>
      <c r="AN51" s="107"/>
      <c r="AO51" s="107"/>
      <c r="AP51" s="107"/>
      <c r="AQ51" s="107"/>
      <c r="AR51" s="107"/>
      <c r="AS51" s="105"/>
      <c r="AT51" s="105"/>
      <c r="AU51" s="105"/>
      <c r="AV51" s="105"/>
      <c r="AW51" s="105"/>
      <c r="AX51" s="105"/>
      <c r="AY51" s="105"/>
      <c r="AZ51" s="106"/>
      <c r="BA51" s="51"/>
      <c r="BB51" s="49"/>
    </row>
    <row r="52" spans="1:54" s="19" customFormat="1" ht="11.25" customHeight="1" x14ac:dyDescent="0.3">
      <c r="A52" s="65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107"/>
      <c r="AL52" s="107"/>
      <c r="AM52" s="107"/>
      <c r="AN52" s="107"/>
      <c r="AO52" s="107"/>
      <c r="AP52" s="107"/>
      <c r="AQ52" s="107"/>
      <c r="AR52" s="107"/>
      <c r="AS52" s="105"/>
      <c r="AT52" s="105"/>
      <c r="AU52" s="105"/>
      <c r="AV52" s="105"/>
      <c r="AW52" s="105"/>
      <c r="AX52" s="105"/>
      <c r="AY52" s="105"/>
      <c r="AZ52" s="106"/>
      <c r="BA52" s="51"/>
      <c r="BB52" s="49"/>
    </row>
    <row r="53" spans="1:54" s="19" customFormat="1" ht="11.25" customHeight="1" x14ac:dyDescent="0.3">
      <c r="A53" s="65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107"/>
      <c r="AL53" s="107"/>
      <c r="AM53" s="107"/>
      <c r="AN53" s="107"/>
      <c r="AO53" s="107"/>
      <c r="AP53" s="107"/>
      <c r="AQ53" s="107"/>
      <c r="AR53" s="107"/>
      <c r="AS53" s="105"/>
      <c r="AT53" s="105"/>
      <c r="AU53" s="105"/>
      <c r="AV53" s="105"/>
      <c r="AW53" s="105"/>
      <c r="AX53" s="105"/>
      <c r="AY53" s="105"/>
      <c r="AZ53" s="106"/>
      <c r="BA53" s="51"/>
      <c r="BB53" s="49"/>
    </row>
    <row r="54" spans="1:54" s="19" customFormat="1" ht="11.25" customHeight="1" x14ac:dyDescent="0.3">
      <c r="A54" s="65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107"/>
      <c r="AL54" s="107"/>
      <c r="AM54" s="107"/>
      <c r="AN54" s="107"/>
      <c r="AO54" s="107"/>
      <c r="AP54" s="107"/>
      <c r="AQ54" s="107"/>
      <c r="AR54" s="107"/>
      <c r="AS54" s="105"/>
      <c r="AT54" s="105"/>
      <c r="AU54" s="105"/>
      <c r="AV54" s="105"/>
      <c r="AW54" s="105"/>
      <c r="AX54" s="105"/>
      <c r="AY54" s="105"/>
      <c r="AZ54" s="106"/>
      <c r="BA54" s="51"/>
      <c r="BB54" s="49"/>
    </row>
    <row r="55" spans="1:54" s="19" customFormat="1" ht="11.25" customHeight="1" x14ac:dyDescent="0.3">
      <c r="A55" s="98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J55" s="99"/>
      <c r="AK55" s="100"/>
      <c r="AL55" s="100"/>
      <c r="AM55" s="100"/>
      <c r="AN55" s="100"/>
      <c r="AO55" s="100"/>
      <c r="AP55" s="100"/>
      <c r="AQ55" s="100"/>
      <c r="AR55" s="100"/>
      <c r="AS55" s="101"/>
      <c r="AT55" s="101"/>
      <c r="AU55" s="101"/>
      <c r="AV55" s="101"/>
      <c r="AW55" s="101"/>
      <c r="AX55" s="101"/>
      <c r="AY55" s="101"/>
      <c r="AZ55" s="102"/>
      <c r="BA55" s="51"/>
      <c r="BB55" s="49"/>
    </row>
    <row r="56" spans="1:54" s="19" customFormat="1" ht="11.25" customHeight="1" x14ac:dyDescent="0.3">
      <c r="A56" s="98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100"/>
      <c r="AL56" s="100"/>
      <c r="AM56" s="100"/>
      <c r="AN56" s="100"/>
      <c r="AO56" s="100"/>
      <c r="AP56" s="100"/>
      <c r="AQ56" s="100"/>
      <c r="AR56" s="100"/>
      <c r="AS56" s="101"/>
      <c r="AT56" s="101"/>
      <c r="AU56" s="101"/>
      <c r="AV56" s="101"/>
      <c r="AW56" s="101"/>
      <c r="AX56" s="101"/>
      <c r="AY56" s="101"/>
      <c r="AZ56" s="102"/>
      <c r="BA56" s="51"/>
      <c r="BB56" s="49"/>
    </row>
    <row r="57" spans="1:54" s="19" customFormat="1" ht="11.25" customHeight="1" x14ac:dyDescent="0.3">
      <c r="A57" s="98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100"/>
      <c r="AL57" s="100"/>
      <c r="AM57" s="100"/>
      <c r="AN57" s="100"/>
      <c r="AO57" s="100"/>
      <c r="AP57" s="100"/>
      <c r="AQ57" s="100"/>
      <c r="AR57" s="100"/>
      <c r="AS57" s="101"/>
      <c r="AT57" s="101"/>
      <c r="AU57" s="101"/>
      <c r="AV57" s="101"/>
      <c r="AW57" s="101"/>
      <c r="AX57" s="101"/>
      <c r="AY57" s="101"/>
      <c r="AZ57" s="102"/>
      <c r="BA57" s="51"/>
      <c r="BB57" s="49"/>
    </row>
    <row r="58" spans="1:54" s="19" customFormat="1" ht="11.4" customHeight="1" x14ac:dyDescent="0.3">
      <c r="A58" s="93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5"/>
      <c r="AL58" s="95"/>
      <c r="AM58" s="95"/>
      <c r="AN58" s="95"/>
      <c r="AO58" s="95"/>
      <c r="AP58" s="95"/>
      <c r="AQ58" s="95"/>
      <c r="AR58" s="95"/>
      <c r="AS58" s="96"/>
      <c r="AT58" s="96"/>
      <c r="AU58" s="96"/>
      <c r="AV58" s="96"/>
      <c r="AW58" s="96"/>
      <c r="AX58" s="96"/>
      <c r="AY58" s="96"/>
      <c r="AZ58" s="97"/>
      <c r="BA58" s="52"/>
      <c r="BB58" s="50"/>
    </row>
    <row r="59" spans="1:54" s="20" customFormat="1" ht="11.25" customHeight="1" x14ac:dyDescent="0.3">
      <c r="A59" s="28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30"/>
      <c r="AK59" s="119" t="s">
        <v>25</v>
      </c>
      <c r="AL59" s="120"/>
      <c r="AM59" s="120"/>
      <c r="AN59" s="120"/>
      <c r="AO59" s="120"/>
      <c r="AP59" s="120"/>
      <c r="AQ59" s="120"/>
      <c r="AR59" s="120"/>
      <c r="AS59" s="121"/>
      <c r="AT59" s="122"/>
      <c r="AU59" s="122"/>
      <c r="AV59" s="122"/>
      <c r="AW59" s="122"/>
      <c r="AX59" s="122"/>
      <c r="AY59" s="122"/>
      <c r="AZ59" s="123"/>
      <c r="BB59" s="32"/>
    </row>
    <row r="60" spans="1:54" s="20" customFormat="1" ht="5.85" customHeight="1" x14ac:dyDescent="0.3">
      <c r="A60" s="31"/>
      <c r="AJ60" s="32"/>
      <c r="AK60" s="33"/>
      <c r="AL60" s="24"/>
      <c r="AM60" s="24"/>
      <c r="AN60" s="24"/>
      <c r="AO60" s="24"/>
      <c r="AS60" s="31"/>
      <c r="AZ60" s="32"/>
      <c r="BB60" s="32"/>
    </row>
    <row r="61" spans="1:54" s="20" customFormat="1" ht="11.25" customHeight="1" x14ac:dyDescent="0.3">
      <c r="A61" s="34" t="s">
        <v>26</v>
      </c>
      <c r="E61" s="20" t="s">
        <v>82</v>
      </c>
      <c r="N61" s="18" t="s">
        <v>27</v>
      </c>
      <c r="R61" s="20" t="s">
        <v>81</v>
      </c>
      <c r="U61" s="124" t="s">
        <v>43</v>
      </c>
      <c r="V61" s="124"/>
      <c r="W61" s="124"/>
      <c r="X61" s="124"/>
      <c r="Y61" s="125">
        <v>4878</v>
      </c>
      <c r="Z61" s="124"/>
      <c r="AA61" s="124"/>
      <c r="AB61" s="124"/>
      <c r="AC61" s="124"/>
      <c r="AD61" s="18"/>
      <c r="AG61" s="20" t="s">
        <v>31</v>
      </c>
      <c r="AJ61" s="32"/>
      <c r="AK61" s="115" t="s">
        <v>42</v>
      </c>
      <c r="AL61" s="116"/>
      <c r="AM61" s="116"/>
      <c r="AN61" s="116"/>
      <c r="AO61" s="116"/>
      <c r="AP61" s="116"/>
      <c r="AQ61" s="116"/>
      <c r="AR61" s="116"/>
      <c r="AS61" s="113"/>
      <c r="AT61" s="90"/>
      <c r="AU61" s="90"/>
      <c r="AV61" s="90"/>
      <c r="AW61" s="90"/>
      <c r="AX61" s="90"/>
      <c r="AY61" s="90"/>
      <c r="AZ61" s="114"/>
      <c r="BB61" s="32"/>
    </row>
    <row r="62" spans="1:54" s="20" customFormat="1" ht="5.85" customHeight="1" x14ac:dyDescent="0.3">
      <c r="A62" s="31"/>
      <c r="AJ62" s="32"/>
      <c r="AK62" s="35" t="s">
        <v>32</v>
      </c>
      <c r="AL62" s="36"/>
      <c r="AM62" s="36"/>
      <c r="AN62" s="36"/>
      <c r="AO62" s="36"/>
      <c r="AP62" s="29"/>
      <c r="AQ62" s="29"/>
      <c r="AR62" s="29"/>
      <c r="AS62" s="31"/>
      <c r="AZ62" s="32"/>
      <c r="BB62" s="32"/>
    </row>
    <row r="63" spans="1:54" s="20" customFormat="1" ht="11.25" customHeight="1" x14ac:dyDescent="0.3">
      <c r="A63" s="34" t="s">
        <v>33</v>
      </c>
      <c r="E63" s="109" t="s">
        <v>47</v>
      </c>
      <c r="F63" s="109"/>
      <c r="G63" s="109"/>
      <c r="H63" s="109"/>
      <c r="I63" s="109"/>
      <c r="J63" s="109"/>
      <c r="K63" s="109"/>
      <c r="L63" s="109"/>
      <c r="M63" s="109"/>
      <c r="N63" s="18" t="s">
        <v>49</v>
      </c>
      <c r="R63" s="110" t="s">
        <v>48</v>
      </c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J63" s="32"/>
      <c r="AK63" s="111" t="s">
        <v>34</v>
      </c>
      <c r="AL63" s="112"/>
      <c r="AM63" s="112"/>
      <c r="AN63" s="112"/>
      <c r="AO63" s="112"/>
      <c r="AP63" s="112"/>
      <c r="AQ63" s="112"/>
      <c r="AR63" s="112"/>
      <c r="AS63" s="113"/>
      <c r="AT63" s="90"/>
      <c r="AU63" s="90"/>
      <c r="AV63" s="90"/>
      <c r="AW63" s="90"/>
      <c r="AX63" s="90"/>
      <c r="AY63" s="90"/>
      <c r="AZ63" s="114"/>
      <c r="BB63" s="32"/>
    </row>
    <row r="64" spans="1:54" s="20" customFormat="1" ht="11.25" customHeight="1" x14ac:dyDescent="0.3">
      <c r="A64" s="37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9"/>
      <c r="AK64" s="115" t="s">
        <v>17</v>
      </c>
      <c r="AL64" s="116"/>
      <c r="AM64" s="116"/>
      <c r="AN64" s="116"/>
      <c r="AO64" s="116"/>
      <c r="AP64" s="116"/>
      <c r="AQ64" s="116"/>
      <c r="AR64" s="116"/>
      <c r="AS64" s="37"/>
      <c r="AT64" s="38"/>
      <c r="AU64" s="38"/>
      <c r="AV64" s="38"/>
      <c r="AW64" s="38"/>
      <c r="AX64" s="38"/>
      <c r="AY64" s="38"/>
      <c r="AZ64" s="39"/>
      <c r="BA64" s="38"/>
      <c r="BB64" s="39"/>
    </row>
    <row r="65" spans="1:52" s="20" customFormat="1" ht="11.25" customHeight="1" x14ac:dyDescent="0.3">
      <c r="AK65" s="24"/>
      <c r="AL65" s="24"/>
      <c r="AM65" s="24"/>
      <c r="AN65" s="24"/>
      <c r="AO65" s="24"/>
    </row>
    <row r="66" spans="1:52" s="20" customFormat="1" ht="11.25" customHeight="1" x14ac:dyDescent="0.3"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K66" s="24"/>
      <c r="AL66" s="117"/>
      <c r="AM66" s="117"/>
      <c r="AN66" s="117"/>
      <c r="AO66" s="117"/>
      <c r="AP66" s="117"/>
      <c r="AQ66" s="117"/>
      <c r="AR66" s="117"/>
      <c r="AS66" s="118"/>
      <c r="AT66" s="118"/>
      <c r="AU66" s="118"/>
      <c r="AV66" s="118"/>
      <c r="AW66" s="118"/>
      <c r="AX66" s="118"/>
      <c r="AY66" s="118"/>
      <c r="AZ66" s="118"/>
    </row>
    <row r="67" spans="1:52" s="20" customFormat="1" ht="11.25" customHeight="1" x14ac:dyDescent="0.3">
      <c r="AK67" s="24"/>
      <c r="AL67" s="117"/>
      <c r="AM67" s="117"/>
      <c r="AN67" s="117"/>
      <c r="AO67" s="117"/>
      <c r="AP67" s="117"/>
      <c r="AQ67" s="117"/>
      <c r="AR67" s="117"/>
      <c r="AS67" s="118"/>
      <c r="AT67" s="118"/>
      <c r="AU67" s="118"/>
      <c r="AV67" s="118"/>
      <c r="AW67" s="118"/>
      <c r="AX67" s="118"/>
      <c r="AY67" s="118"/>
      <c r="AZ67" s="118"/>
    </row>
    <row r="68" spans="1:52" s="20" customFormat="1" ht="11.25" customHeight="1" x14ac:dyDescent="0.3">
      <c r="AK68" s="24"/>
      <c r="AL68" s="117"/>
      <c r="AM68" s="117"/>
      <c r="AN68" s="117"/>
      <c r="AO68" s="117"/>
      <c r="AP68" s="117"/>
      <c r="AQ68" s="117"/>
      <c r="AR68" s="117"/>
      <c r="AS68" s="112"/>
      <c r="AT68" s="112"/>
      <c r="AU68" s="112"/>
      <c r="AV68" s="112"/>
      <c r="AW68" s="112"/>
      <c r="AX68" s="112"/>
      <c r="AY68" s="112"/>
      <c r="AZ68" s="112"/>
    </row>
    <row r="69" spans="1:52" s="19" customFormat="1" ht="11.25" customHeight="1" x14ac:dyDescent="0.3">
      <c r="A69" s="25"/>
      <c r="AK69" s="23"/>
      <c r="AL69" s="23"/>
      <c r="AM69" s="23"/>
      <c r="AN69" s="23"/>
      <c r="AO69" s="23"/>
    </row>
    <row r="70" spans="1:52" s="19" customFormat="1" ht="11.25" customHeight="1" x14ac:dyDescent="0.3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  <c r="AO70" s="131"/>
      <c r="AP70" s="131"/>
      <c r="AQ70" s="131"/>
      <c r="AR70" s="131"/>
      <c r="AS70" s="131"/>
    </row>
    <row r="71" spans="1:52" s="19" customFormat="1" ht="11.25" customHeight="1" x14ac:dyDescent="0.3">
      <c r="A71" s="25"/>
      <c r="AK71" s="23"/>
      <c r="AL71" s="23"/>
      <c r="AM71" s="23"/>
      <c r="AN71" s="23"/>
      <c r="AO71" s="23"/>
    </row>
    <row r="72" spans="1:52" s="19" customFormat="1" ht="11.25" customHeight="1" x14ac:dyDescent="0.3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  <c r="AO72" s="131"/>
      <c r="AP72" s="131"/>
      <c r="AQ72" s="131"/>
      <c r="AR72" s="131"/>
      <c r="AS72" s="131"/>
    </row>
    <row r="73" spans="1:52" s="19" customFormat="1" ht="11.25" customHeight="1" x14ac:dyDescent="0.3">
      <c r="A73" s="25"/>
      <c r="AK73" s="23"/>
      <c r="AL73" s="23"/>
      <c r="AM73" s="23"/>
      <c r="AN73" s="23"/>
      <c r="AO73" s="23"/>
    </row>
    <row r="74" spans="1:52" s="19" customFormat="1" ht="8.4" customHeight="1" x14ac:dyDescent="0.3">
      <c r="A74" s="12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7"/>
      <c r="N74" s="127"/>
      <c r="O74" s="127"/>
      <c r="P74" s="128"/>
      <c r="Q74" s="128"/>
      <c r="R74" s="128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1"/>
      <c r="AL74" s="41"/>
      <c r="AM74" s="41"/>
      <c r="AN74" s="41"/>
      <c r="AO74" s="41"/>
      <c r="AP74" s="40"/>
      <c r="AQ74" s="40"/>
      <c r="AR74" s="40"/>
      <c r="AS74" s="40"/>
    </row>
    <row r="75" spans="1:52" s="19" customFormat="1" ht="8.4" customHeight="1" x14ac:dyDescent="0.3">
      <c r="A75" s="129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  <c r="AK75" s="130"/>
      <c r="AL75" s="130"/>
      <c r="AM75" s="130"/>
      <c r="AN75" s="130"/>
      <c r="AO75" s="130"/>
      <c r="AP75" s="130"/>
      <c r="AQ75" s="130"/>
      <c r="AR75" s="130"/>
      <c r="AS75" s="130"/>
    </row>
    <row r="76" spans="1:52" s="19" customFormat="1" ht="8.4" customHeight="1" x14ac:dyDescent="0.3">
      <c r="A76" s="129"/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1"/>
      <c r="AL76" s="41"/>
      <c r="AM76" s="41"/>
      <c r="AN76" s="41"/>
      <c r="AO76" s="41"/>
      <c r="AP76" s="40"/>
      <c r="AQ76" s="40"/>
      <c r="AR76" s="40"/>
      <c r="AS76" s="40"/>
    </row>
    <row r="77" spans="1:52" s="19" customFormat="1" ht="11.25" customHeight="1" x14ac:dyDescent="0.3">
      <c r="AK77" s="23"/>
      <c r="AL77" s="23"/>
      <c r="AM77" s="23"/>
      <c r="AN77" s="23"/>
      <c r="AO77" s="23"/>
    </row>
    <row r="78" spans="1:52" s="19" customFormat="1" ht="11.25" customHeight="1" x14ac:dyDescent="0.3">
      <c r="AK78" s="23"/>
      <c r="AL78" s="23"/>
      <c r="AM78" s="23"/>
      <c r="AN78" s="23"/>
      <c r="AO78" s="23"/>
    </row>
    <row r="79" spans="1:52" s="19" customFormat="1" ht="11.25" customHeight="1" x14ac:dyDescent="0.3">
      <c r="AK79" s="23"/>
      <c r="AL79" s="23"/>
      <c r="AM79" s="23"/>
      <c r="AN79" s="23"/>
      <c r="AO79" s="23"/>
    </row>
    <row r="80" spans="1:52" s="19" customFormat="1" ht="11.25" customHeight="1" x14ac:dyDescent="0.3">
      <c r="AK80" s="23"/>
      <c r="AL80" s="23"/>
      <c r="AM80" s="23"/>
      <c r="AN80" s="23"/>
      <c r="AO80" s="23"/>
    </row>
    <row r="81" spans="37:41" s="19" customFormat="1" ht="11.25" customHeight="1" x14ac:dyDescent="0.3">
      <c r="AK81" s="23"/>
      <c r="AL81" s="23"/>
      <c r="AM81" s="23"/>
      <c r="AN81" s="23"/>
      <c r="AO81" s="23"/>
    </row>
    <row r="82" spans="37:41" s="19" customFormat="1" ht="11.25" customHeight="1" x14ac:dyDescent="0.3">
      <c r="AK82" s="23"/>
      <c r="AL82" s="23"/>
      <c r="AM82" s="23"/>
      <c r="AN82" s="23"/>
      <c r="AO82" s="23"/>
    </row>
    <row r="83" spans="37:41" s="19" customFormat="1" ht="11.25" customHeight="1" x14ac:dyDescent="0.3">
      <c r="AK83" s="23"/>
      <c r="AL83" s="23"/>
      <c r="AM83" s="23"/>
      <c r="AN83" s="23"/>
      <c r="AO83" s="23"/>
    </row>
    <row r="84" spans="37:41" s="19" customFormat="1" ht="11.25" customHeight="1" x14ac:dyDescent="0.3">
      <c r="AK84" s="23"/>
      <c r="AL84" s="23"/>
      <c r="AM84" s="23"/>
      <c r="AN84" s="23"/>
      <c r="AO84" s="23"/>
    </row>
    <row r="85" spans="37:41" s="19" customFormat="1" ht="11.25" customHeight="1" x14ac:dyDescent="0.3">
      <c r="AK85" s="23"/>
      <c r="AL85" s="23"/>
      <c r="AM85" s="23"/>
      <c r="AN85" s="23"/>
      <c r="AO85" s="23"/>
    </row>
    <row r="86" spans="37:41" s="19" customFormat="1" ht="11.25" customHeight="1" x14ac:dyDescent="0.3">
      <c r="AK86" s="23"/>
      <c r="AL86" s="23"/>
      <c r="AM86" s="23"/>
      <c r="AN86" s="23"/>
      <c r="AO86" s="23"/>
    </row>
    <row r="87" spans="37:41" s="19" customFormat="1" ht="11.25" customHeight="1" x14ac:dyDescent="0.3">
      <c r="AK87" s="23"/>
      <c r="AL87" s="23"/>
      <c r="AM87" s="23"/>
      <c r="AN87" s="23"/>
      <c r="AO87" s="23"/>
    </row>
    <row r="88" spans="37:41" s="19" customFormat="1" ht="11.25" customHeight="1" x14ac:dyDescent="0.3">
      <c r="AK88" s="23"/>
      <c r="AL88" s="23"/>
      <c r="AM88" s="23"/>
      <c r="AN88" s="23"/>
      <c r="AO88" s="23"/>
    </row>
    <row r="89" spans="37:41" s="19" customFormat="1" ht="11.25" customHeight="1" x14ac:dyDescent="0.3">
      <c r="AK89" s="23"/>
      <c r="AL89" s="23"/>
      <c r="AM89" s="23"/>
      <c r="AN89" s="23"/>
      <c r="AO89" s="23"/>
    </row>
    <row r="90" spans="37:41" s="19" customFormat="1" ht="11.25" customHeight="1" x14ac:dyDescent="0.3">
      <c r="AK90" s="23"/>
      <c r="AL90" s="23"/>
      <c r="AM90" s="23"/>
      <c r="AN90" s="23"/>
      <c r="AO90" s="23"/>
    </row>
    <row r="91" spans="37:41" s="19" customFormat="1" ht="11.25" customHeight="1" x14ac:dyDescent="0.3">
      <c r="AK91" s="23"/>
      <c r="AL91" s="23"/>
      <c r="AM91" s="23"/>
      <c r="AN91" s="23"/>
      <c r="AO91" s="23"/>
    </row>
    <row r="92" spans="37:41" s="19" customFormat="1" ht="11.25" customHeight="1" x14ac:dyDescent="0.3">
      <c r="AK92" s="23"/>
      <c r="AL92" s="23"/>
      <c r="AM92" s="23"/>
      <c r="AN92" s="23"/>
      <c r="AO92" s="23"/>
    </row>
    <row r="93" spans="37:41" s="19" customFormat="1" ht="11.25" customHeight="1" x14ac:dyDescent="0.3">
      <c r="AK93" s="23"/>
      <c r="AL93" s="23"/>
      <c r="AM93" s="23"/>
      <c r="AN93" s="23"/>
      <c r="AO93" s="23"/>
    </row>
    <row r="94" spans="37:41" s="19" customFormat="1" ht="11.25" customHeight="1" x14ac:dyDescent="0.3">
      <c r="AK94" s="23"/>
      <c r="AL94" s="23"/>
      <c r="AM94" s="23"/>
      <c r="AN94" s="23"/>
      <c r="AO94" s="23"/>
    </row>
    <row r="95" spans="37:41" s="19" customFormat="1" ht="11.25" customHeight="1" x14ac:dyDescent="0.3">
      <c r="AK95" s="23"/>
      <c r="AL95" s="23"/>
      <c r="AM95" s="23"/>
      <c r="AN95" s="23"/>
      <c r="AO95" s="23"/>
    </row>
    <row r="96" spans="37:41" s="19" customFormat="1" ht="11.25" customHeight="1" x14ac:dyDescent="0.3">
      <c r="AK96" s="23"/>
      <c r="AL96" s="23"/>
      <c r="AM96" s="23"/>
      <c r="AN96" s="23"/>
      <c r="AO96" s="23"/>
    </row>
    <row r="97" spans="37:41" s="19" customFormat="1" ht="11.25" customHeight="1" x14ac:dyDescent="0.3">
      <c r="AK97" s="23"/>
      <c r="AL97" s="23"/>
      <c r="AM97" s="23"/>
      <c r="AN97" s="23"/>
      <c r="AO97" s="23"/>
    </row>
    <row r="98" spans="37:41" s="19" customFormat="1" ht="11.25" customHeight="1" x14ac:dyDescent="0.3">
      <c r="AK98" s="23"/>
      <c r="AL98" s="23"/>
      <c r="AM98" s="23"/>
      <c r="AN98" s="23"/>
      <c r="AO98" s="23"/>
    </row>
    <row r="99" spans="37:41" s="19" customFormat="1" ht="11.25" customHeight="1" x14ac:dyDescent="0.3">
      <c r="AK99" s="23"/>
      <c r="AL99" s="23"/>
      <c r="AM99" s="23"/>
      <c r="AN99" s="23"/>
      <c r="AO99" s="23"/>
    </row>
    <row r="100" spans="37:41" s="19" customFormat="1" ht="11.25" customHeight="1" x14ac:dyDescent="0.3">
      <c r="AK100" s="23"/>
      <c r="AL100" s="23"/>
      <c r="AM100" s="23"/>
      <c r="AN100" s="23"/>
      <c r="AO100" s="23"/>
    </row>
    <row r="101" spans="37:41" s="19" customFormat="1" ht="11.25" customHeight="1" x14ac:dyDescent="0.3">
      <c r="AK101" s="23"/>
      <c r="AL101" s="23"/>
      <c r="AM101" s="23"/>
      <c r="AN101" s="23"/>
      <c r="AO101" s="23"/>
    </row>
    <row r="102" spans="37:41" s="19" customFormat="1" ht="11.25" customHeight="1" x14ac:dyDescent="0.3">
      <c r="AK102" s="23"/>
      <c r="AL102" s="23"/>
      <c r="AM102" s="23"/>
      <c r="AN102" s="23"/>
      <c r="AO102" s="23"/>
    </row>
    <row r="103" spans="37:41" s="19" customFormat="1" ht="11.25" customHeight="1" x14ac:dyDescent="0.3">
      <c r="AK103" s="23"/>
      <c r="AL103" s="23"/>
      <c r="AM103" s="23"/>
      <c r="AN103" s="23"/>
      <c r="AO103" s="23"/>
    </row>
    <row r="104" spans="37:41" s="19" customFormat="1" ht="11.25" customHeight="1" x14ac:dyDescent="0.3">
      <c r="AK104" s="23"/>
      <c r="AL104" s="23"/>
      <c r="AM104" s="23"/>
      <c r="AN104" s="23"/>
      <c r="AO104" s="23"/>
    </row>
    <row r="105" spans="37:41" s="19" customFormat="1" ht="11.25" customHeight="1" x14ac:dyDescent="0.3">
      <c r="AK105" s="23"/>
      <c r="AL105" s="23"/>
      <c r="AM105" s="23"/>
      <c r="AN105" s="23"/>
      <c r="AO105" s="23"/>
    </row>
    <row r="106" spans="37:41" s="19" customFormat="1" ht="11.25" customHeight="1" x14ac:dyDescent="0.3">
      <c r="AK106" s="23"/>
      <c r="AL106" s="23"/>
      <c r="AM106" s="23"/>
      <c r="AN106" s="23"/>
      <c r="AO106" s="23"/>
    </row>
    <row r="107" spans="37:41" s="19" customFormat="1" ht="11.25" customHeight="1" x14ac:dyDescent="0.3">
      <c r="AK107" s="23"/>
      <c r="AL107" s="23"/>
      <c r="AM107" s="23"/>
      <c r="AN107" s="23"/>
      <c r="AO107" s="23"/>
    </row>
    <row r="108" spans="37:41" s="19" customFormat="1" ht="11.25" customHeight="1" x14ac:dyDescent="0.3">
      <c r="AK108" s="23"/>
      <c r="AL108" s="23"/>
      <c r="AM108" s="23"/>
      <c r="AN108" s="23"/>
      <c r="AO108" s="23"/>
    </row>
    <row r="109" spans="37:41" s="19" customFormat="1" ht="11.25" customHeight="1" x14ac:dyDescent="0.3">
      <c r="AK109" s="23"/>
      <c r="AL109" s="23"/>
      <c r="AM109" s="23"/>
      <c r="AN109" s="23"/>
      <c r="AO109" s="23"/>
    </row>
    <row r="110" spans="37:41" s="19" customFormat="1" ht="11.25" customHeight="1" x14ac:dyDescent="0.3">
      <c r="AK110" s="23"/>
      <c r="AL110" s="23"/>
      <c r="AM110" s="23"/>
      <c r="AN110" s="23"/>
      <c r="AO110" s="23"/>
    </row>
    <row r="111" spans="37:41" s="19" customFormat="1" ht="11.25" customHeight="1" x14ac:dyDescent="0.3">
      <c r="AK111" s="23"/>
      <c r="AL111" s="23"/>
      <c r="AM111" s="23"/>
      <c r="AN111" s="23"/>
      <c r="AO111" s="23"/>
    </row>
    <row r="112" spans="37:41" s="19" customFormat="1" ht="11.25" customHeight="1" x14ac:dyDescent="0.3">
      <c r="AK112" s="23"/>
      <c r="AL112" s="23"/>
      <c r="AM112" s="23"/>
      <c r="AN112" s="23"/>
      <c r="AO112" s="23"/>
    </row>
    <row r="113" spans="37:41" s="19" customFormat="1" ht="11.25" customHeight="1" x14ac:dyDescent="0.3">
      <c r="AK113" s="23"/>
      <c r="AL113" s="23"/>
      <c r="AM113" s="23"/>
      <c r="AN113" s="23"/>
      <c r="AO113" s="23"/>
    </row>
    <row r="114" spans="37:41" s="19" customFormat="1" ht="11.25" customHeight="1" x14ac:dyDescent="0.3">
      <c r="AK114" s="23"/>
      <c r="AL114" s="23"/>
      <c r="AM114" s="23"/>
      <c r="AN114" s="23"/>
      <c r="AO114" s="23"/>
    </row>
    <row r="115" spans="37:41" s="19" customFormat="1" ht="11.25" customHeight="1" x14ac:dyDescent="0.3">
      <c r="AK115" s="23"/>
      <c r="AL115" s="23"/>
      <c r="AM115" s="23"/>
      <c r="AN115" s="23"/>
      <c r="AO115" s="23"/>
    </row>
    <row r="116" spans="37:41" s="19" customFormat="1" ht="11.25" customHeight="1" x14ac:dyDescent="0.3">
      <c r="AK116" s="23"/>
      <c r="AL116" s="23"/>
      <c r="AM116" s="23"/>
      <c r="AN116" s="23"/>
      <c r="AO116" s="23"/>
    </row>
    <row r="117" spans="37:41" s="19" customFormat="1" ht="11.25" customHeight="1" x14ac:dyDescent="0.3">
      <c r="AK117" s="23"/>
      <c r="AL117" s="23"/>
      <c r="AM117" s="23"/>
      <c r="AN117" s="23"/>
      <c r="AO117" s="23"/>
    </row>
    <row r="118" spans="37:41" s="19" customFormat="1" ht="11.25" customHeight="1" x14ac:dyDescent="0.3">
      <c r="AK118" s="23"/>
      <c r="AL118" s="23"/>
      <c r="AM118" s="23"/>
      <c r="AN118" s="23"/>
      <c r="AO118" s="23"/>
    </row>
    <row r="119" spans="37:41" s="19" customFormat="1" ht="11.25" customHeight="1" x14ac:dyDescent="0.3">
      <c r="AK119" s="23"/>
      <c r="AL119" s="23"/>
      <c r="AM119" s="23"/>
      <c r="AN119" s="23"/>
      <c r="AO119" s="23"/>
    </row>
    <row r="120" spans="37:41" s="19" customFormat="1" ht="11.25" customHeight="1" x14ac:dyDescent="0.3">
      <c r="AK120" s="23"/>
      <c r="AL120" s="23"/>
      <c r="AM120" s="23"/>
      <c r="AN120" s="23"/>
      <c r="AO120" s="23"/>
    </row>
    <row r="121" spans="37:41" s="19" customFormat="1" ht="11.25" customHeight="1" x14ac:dyDescent="0.3">
      <c r="AK121" s="23"/>
      <c r="AL121" s="23"/>
      <c r="AM121" s="23"/>
      <c r="AN121" s="23"/>
      <c r="AO121" s="23"/>
    </row>
    <row r="122" spans="37:41" s="19" customFormat="1" ht="11.25" customHeight="1" x14ac:dyDescent="0.3">
      <c r="AK122" s="23"/>
      <c r="AL122" s="23"/>
      <c r="AM122" s="23"/>
      <c r="AN122" s="23"/>
      <c r="AO122" s="23"/>
    </row>
    <row r="123" spans="37:41" s="19" customFormat="1" ht="11.25" customHeight="1" x14ac:dyDescent="0.3">
      <c r="AK123" s="23"/>
      <c r="AL123" s="23"/>
      <c r="AM123" s="23"/>
      <c r="AN123" s="23"/>
      <c r="AO123" s="23"/>
    </row>
    <row r="124" spans="37:41" s="19" customFormat="1" ht="11.25" customHeight="1" x14ac:dyDescent="0.3">
      <c r="AK124" s="23"/>
      <c r="AL124" s="23"/>
      <c r="AM124" s="23"/>
      <c r="AN124" s="23"/>
      <c r="AO124" s="23"/>
    </row>
    <row r="125" spans="37:41" s="19" customFormat="1" ht="11.25" customHeight="1" x14ac:dyDescent="0.3">
      <c r="AK125" s="23"/>
      <c r="AL125" s="23"/>
      <c r="AM125" s="23"/>
      <c r="AN125" s="23"/>
      <c r="AO125" s="23"/>
    </row>
    <row r="126" spans="37:41" s="19" customFormat="1" ht="11.25" customHeight="1" x14ac:dyDescent="0.3">
      <c r="AK126" s="23"/>
      <c r="AL126" s="23"/>
      <c r="AM126" s="23"/>
      <c r="AN126" s="23"/>
      <c r="AO126" s="23"/>
    </row>
    <row r="127" spans="37:41" s="19" customFormat="1" ht="11.25" customHeight="1" x14ac:dyDescent="0.3">
      <c r="AK127" s="23"/>
      <c r="AL127" s="23"/>
      <c r="AM127" s="23"/>
      <c r="AN127" s="23"/>
      <c r="AO127" s="23"/>
    </row>
    <row r="128" spans="37:41" s="19" customFormat="1" ht="11.25" customHeight="1" x14ac:dyDescent="0.3">
      <c r="AK128" s="23"/>
      <c r="AL128" s="23"/>
      <c r="AM128" s="23"/>
      <c r="AN128" s="23"/>
      <c r="AO128" s="23"/>
    </row>
    <row r="129" spans="37:41" s="19" customFormat="1" ht="11.25" customHeight="1" x14ac:dyDescent="0.3">
      <c r="AK129" s="23"/>
      <c r="AL129" s="23"/>
      <c r="AM129" s="23"/>
      <c r="AN129" s="23"/>
      <c r="AO129" s="23"/>
    </row>
    <row r="130" spans="37:41" s="19" customFormat="1" ht="11.25" customHeight="1" x14ac:dyDescent="0.3">
      <c r="AK130" s="23"/>
      <c r="AL130" s="23"/>
      <c r="AM130" s="23"/>
      <c r="AN130" s="23"/>
      <c r="AO130" s="23"/>
    </row>
    <row r="131" spans="37:41" s="19" customFormat="1" ht="11.25" customHeight="1" x14ac:dyDescent="0.3">
      <c r="AK131" s="23"/>
      <c r="AL131" s="23"/>
      <c r="AM131" s="23"/>
      <c r="AN131" s="23"/>
      <c r="AO131" s="23"/>
    </row>
    <row r="132" spans="37:41" s="19" customFormat="1" ht="11.25" customHeight="1" x14ac:dyDescent="0.3">
      <c r="AK132" s="23"/>
      <c r="AL132" s="23"/>
      <c r="AM132" s="23"/>
      <c r="AN132" s="23"/>
      <c r="AO132" s="23"/>
    </row>
    <row r="133" spans="37:41" s="19" customFormat="1" ht="11.25" customHeight="1" x14ac:dyDescent="0.3">
      <c r="AK133" s="23"/>
      <c r="AL133" s="23"/>
      <c r="AM133" s="23"/>
      <c r="AN133" s="23"/>
      <c r="AO133" s="23"/>
    </row>
    <row r="134" spans="37:41" s="19" customFormat="1" ht="11.25" customHeight="1" x14ac:dyDescent="0.3">
      <c r="AK134" s="23"/>
      <c r="AL134" s="23"/>
      <c r="AM134" s="23"/>
      <c r="AN134" s="23"/>
      <c r="AO134" s="23"/>
    </row>
    <row r="135" spans="37:41" s="19" customFormat="1" ht="11.25" customHeight="1" x14ac:dyDescent="0.3">
      <c r="AK135" s="23"/>
      <c r="AL135" s="23"/>
      <c r="AM135" s="23"/>
      <c r="AN135" s="23"/>
      <c r="AO135" s="23"/>
    </row>
    <row r="136" spans="37:41" s="19" customFormat="1" ht="11.25" customHeight="1" x14ac:dyDescent="0.3">
      <c r="AK136" s="23"/>
      <c r="AL136" s="23"/>
      <c r="AM136" s="23"/>
      <c r="AN136" s="23"/>
      <c r="AO136" s="23"/>
    </row>
    <row r="137" spans="37:41" s="19" customFormat="1" ht="11.25" customHeight="1" x14ac:dyDescent="0.3">
      <c r="AK137" s="23"/>
      <c r="AL137" s="23"/>
      <c r="AM137" s="23"/>
      <c r="AN137" s="23"/>
      <c r="AO137" s="23"/>
    </row>
    <row r="138" spans="37:41" s="19" customFormat="1" ht="11.25" customHeight="1" x14ac:dyDescent="0.3">
      <c r="AK138" s="23"/>
      <c r="AL138" s="23"/>
      <c r="AM138" s="23"/>
      <c r="AN138" s="23"/>
      <c r="AO138" s="23"/>
    </row>
    <row r="139" spans="37:41" s="19" customFormat="1" ht="11.25" customHeight="1" x14ac:dyDescent="0.3">
      <c r="AK139" s="23"/>
      <c r="AL139" s="23"/>
      <c r="AM139" s="23"/>
      <c r="AN139" s="23"/>
      <c r="AO139" s="23"/>
    </row>
    <row r="140" spans="37:41" s="19" customFormat="1" ht="11.25" customHeight="1" x14ac:dyDescent="0.3">
      <c r="AK140" s="23"/>
      <c r="AL140" s="23"/>
      <c r="AM140" s="23"/>
      <c r="AN140" s="23"/>
      <c r="AO140" s="23"/>
    </row>
    <row r="141" spans="37:41" s="19" customFormat="1" ht="11.25" customHeight="1" x14ac:dyDescent="0.3">
      <c r="AK141" s="23"/>
      <c r="AL141" s="23"/>
      <c r="AM141" s="23"/>
      <c r="AN141" s="23"/>
      <c r="AO141" s="23"/>
    </row>
    <row r="142" spans="37:41" s="19" customFormat="1" ht="11.25" customHeight="1" x14ac:dyDescent="0.3">
      <c r="AK142" s="23"/>
      <c r="AL142" s="23"/>
      <c r="AM142" s="23"/>
      <c r="AN142" s="23"/>
      <c r="AO142" s="23"/>
    </row>
    <row r="143" spans="37:41" s="19" customFormat="1" ht="11.25" customHeight="1" x14ac:dyDescent="0.3">
      <c r="AK143" s="23"/>
      <c r="AL143" s="23"/>
      <c r="AM143" s="23"/>
      <c r="AN143" s="23"/>
      <c r="AO143" s="23"/>
    </row>
    <row r="144" spans="37:41" s="19" customFormat="1" ht="11.25" customHeight="1" x14ac:dyDescent="0.3">
      <c r="AK144" s="23"/>
      <c r="AL144" s="23"/>
      <c r="AM144" s="23"/>
      <c r="AN144" s="23"/>
      <c r="AO144" s="23"/>
    </row>
    <row r="145" spans="37:41" s="19" customFormat="1" ht="11.25" customHeight="1" x14ac:dyDescent="0.3">
      <c r="AK145" s="23"/>
      <c r="AL145" s="23"/>
      <c r="AM145" s="23"/>
      <c r="AN145" s="23"/>
      <c r="AO145" s="23"/>
    </row>
    <row r="146" spans="37:41" s="19" customFormat="1" ht="11.25" customHeight="1" x14ac:dyDescent="0.3">
      <c r="AK146" s="23"/>
      <c r="AL146" s="23"/>
      <c r="AM146" s="23"/>
      <c r="AN146" s="23"/>
      <c r="AO146" s="23"/>
    </row>
    <row r="147" spans="37:41" s="19" customFormat="1" ht="11.25" customHeight="1" x14ac:dyDescent="0.3">
      <c r="AK147" s="23"/>
      <c r="AL147" s="23"/>
      <c r="AM147" s="23"/>
      <c r="AN147" s="23"/>
      <c r="AO147" s="23"/>
    </row>
    <row r="148" spans="37:41" s="19" customFormat="1" ht="11.25" customHeight="1" x14ac:dyDescent="0.3">
      <c r="AK148" s="23"/>
      <c r="AL148" s="23"/>
      <c r="AM148" s="23"/>
      <c r="AN148" s="23"/>
      <c r="AO148" s="23"/>
    </row>
    <row r="149" spans="37:41" s="19" customFormat="1" ht="11.25" customHeight="1" x14ac:dyDescent="0.3">
      <c r="AK149" s="23"/>
      <c r="AL149" s="23"/>
      <c r="AM149" s="23"/>
      <c r="AN149" s="23"/>
      <c r="AO149" s="23"/>
    </row>
    <row r="150" spans="37:41" s="19" customFormat="1" ht="11.25" customHeight="1" x14ac:dyDescent="0.3">
      <c r="AK150" s="23"/>
      <c r="AL150" s="23"/>
      <c r="AM150" s="23"/>
      <c r="AN150" s="23"/>
      <c r="AO150" s="23"/>
    </row>
    <row r="151" spans="37:41" s="19" customFormat="1" ht="11.25" customHeight="1" x14ac:dyDescent="0.3">
      <c r="AK151" s="23"/>
      <c r="AL151" s="23"/>
      <c r="AM151" s="23"/>
      <c r="AN151" s="23"/>
      <c r="AO151" s="23"/>
    </row>
    <row r="152" spans="37:41" s="19" customFormat="1" ht="11.25" customHeight="1" x14ac:dyDescent="0.3">
      <c r="AK152" s="23"/>
      <c r="AL152" s="23"/>
      <c r="AM152" s="23"/>
      <c r="AN152" s="23"/>
      <c r="AO152" s="23"/>
    </row>
    <row r="153" spans="37:41" s="19" customFormat="1" ht="11.25" customHeight="1" x14ac:dyDescent="0.3">
      <c r="AK153" s="23"/>
      <c r="AL153" s="23"/>
      <c r="AM153" s="23"/>
      <c r="AN153" s="23"/>
      <c r="AO153" s="23"/>
    </row>
    <row r="154" spans="37:41" s="19" customFormat="1" ht="11.25" customHeight="1" x14ac:dyDescent="0.3">
      <c r="AK154" s="23"/>
      <c r="AL154" s="23"/>
      <c r="AM154" s="23"/>
      <c r="AN154" s="23"/>
      <c r="AO154" s="23"/>
    </row>
    <row r="155" spans="37:41" s="19" customFormat="1" ht="11.25" customHeight="1" x14ac:dyDescent="0.3">
      <c r="AK155" s="23"/>
      <c r="AL155" s="23"/>
      <c r="AM155" s="23"/>
      <c r="AN155" s="23"/>
      <c r="AO155" s="23"/>
    </row>
    <row r="156" spans="37:41" s="19" customFormat="1" ht="11.25" customHeight="1" x14ac:dyDescent="0.3">
      <c r="AK156" s="23"/>
      <c r="AL156" s="23"/>
      <c r="AM156" s="23"/>
      <c r="AN156" s="23"/>
      <c r="AO156" s="23"/>
    </row>
    <row r="157" spans="37:41" s="19" customFormat="1" ht="11.25" customHeight="1" x14ac:dyDescent="0.3">
      <c r="AK157" s="23"/>
      <c r="AL157" s="23"/>
      <c r="AM157" s="23"/>
      <c r="AN157" s="23"/>
      <c r="AO157" s="23"/>
    </row>
    <row r="158" spans="37:41" s="19" customFormat="1" ht="11.25" customHeight="1" x14ac:dyDescent="0.3">
      <c r="AK158" s="23"/>
      <c r="AL158" s="23"/>
      <c r="AM158" s="23"/>
      <c r="AN158" s="23"/>
      <c r="AO158" s="23"/>
    </row>
    <row r="159" spans="37:41" s="19" customFormat="1" ht="11.25" customHeight="1" x14ac:dyDescent="0.3">
      <c r="AK159" s="23"/>
      <c r="AL159" s="23"/>
      <c r="AM159" s="23"/>
      <c r="AN159" s="23"/>
      <c r="AO159" s="23"/>
    </row>
    <row r="160" spans="37:41" s="19" customFormat="1" ht="11.25" customHeight="1" x14ac:dyDescent="0.3">
      <c r="AK160" s="23"/>
      <c r="AL160" s="23"/>
      <c r="AM160" s="23"/>
      <c r="AN160" s="23"/>
      <c r="AO160" s="23"/>
    </row>
    <row r="161" spans="37:41" s="19" customFormat="1" ht="11.25" customHeight="1" x14ac:dyDescent="0.3">
      <c r="AK161" s="23"/>
      <c r="AL161" s="23"/>
      <c r="AM161" s="23"/>
      <c r="AN161" s="23"/>
      <c r="AO161" s="23"/>
    </row>
    <row r="162" spans="37:41" s="19" customFormat="1" ht="11.25" customHeight="1" x14ac:dyDescent="0.3">
      <c r="AK162" s="23"/>
      <c r="AL162" s="23"/>
      <c r="AM162" s="23"/>
      <c r="AN162" s="23"/>
      <c r="AO162" s="23"/>
    </row>
    <row r="163" spans="37:41" s="19" customFormat="1" ht="11.25" customHeight="1" x14ac:dyDescent="0.3">
      <c r="AK163" s="23"/>
      <c r="AL163" s="23"/>
      <c r="AM163" s="23"/>
      <c r="AN163" s="23"/>
      <c r="AO163" s="23"/>
    </row>
    <row r="164" spans="37:41" s="19" customFormat="1" ht="11.25" customHeight="1" x14ac:dyDescent="0.3">
      <c r="AK164" s="23"/>
      <c r="AL164" s="23"/>
      <c r="AM164" s="23"/>
      <c r="AN164" s="23"/>
      <c r="AO164" s="23"/>
    </row>
    <row r="165" spans="37:41" s="19" customFormat="1" ht="11.25" customHeight="1" x14ac:dyDescent="0.3">
      <c r="AK165" s="23"/>
      <c r="AL165" s="23"/>
      <c r="AM165" s="23"/>
      <c r="AN165" s="23"/>
      <c r="AO165" s="23"/>
    </row>
    <row r="166" spans="37:41" s="19" customFormat="1" ht="11.25" customHeight="1" x14ac:dyDescent="0.3">
      <c r="AK166" s="23"/>
      <c r="AL166" s="23"/>
      <c r="AM166" s="23"/>
      <c r="AN166" s="23"/>
      <c r="AO166" s="23"/>
    </row>
    <row r="167" spans="37:41" s="19" customFormat="1" ht="11.25" customHeight="1" x14ac:dyDescent="0.3">
      <c r="AK167" s="23"/>
      <c r="AL167" s="23"/>
      <c r="AM167" s="23"/>
      <c r="AN167" s="23"/>
      <c r="AO167" s="23"/>
    </row>
    <row r="168" spans="37:41" s="19" customFormat="1" ht="11.25" customHeight="1" x14ac:dyDescent="0.3">
      <c r="AK168" s="23"/>
      <c r="AL168" s="23"/>
      <c r="AM168" s="23"/>
      <c r="AN168" s="23"/>
      <c r="AO168" s="23"/>
    </row>
    <row r="169" spans="37:41" s="19" customFormat="1" ht="11.25" customHeight="1" x14ac:dyDescent="0.3">
      <c r="AK169" s="23"/>
      <c r="AL169" s="23"/>
      <c r="AM169" s="23"/>
      <c r="AN169" s="23"/>
      <c r="AO169" s="23"/>
    </row>
    <row r="170" spans="37:41" s="19" customFormat="1" ht="11.25" customHeight="1" x14ac:dyDescent="0.3">
      <c r="AK170" s="23"/>
      <c r="AL170" s="23"/>
      <c r="AM170" s="23"/>
      <c r="AN170" s="23"/>
      <c r="AO170" s="23"/>
    </row>
    <row r="171" spans="37:41" s="19" customFormat="1" ht="11.25" customHeight="1" x14ac:dyDescent="0.3">
      <c r="AK171" s="23"/>
      <c r="AL171" s="23"/>
      <c r="AM171" s="23"/>
      <c r="AN171" s="23"/>
      <c r="AO171" s="23"/>
    </row>
    <row r="172" spans="37:41" s="19" customFormat="1" ht="11.25" customHeight="1" x14ac:dyDescent="0.3">
      <c r="AK172" s="23"/>
      <c r="AL172" s="23"/>
      <c r="AM172" s="23"/>
      <c r="AN172" s="23"/>
      <c r="AO172" s="23"/>
    </row>
    <row r="173" spans="37:41" s="19" customFormat="1" ht="11.25" customHeight="1" x14ac:dyDescent="0.3">
      <c r="AK173" s="23"/>
      <c r="AL173" s="23"/>
      <c r="AM173" s="23"/>
      <c r="AN173" s="23"/>
      <c r="AO173" s="23"/>
    </row>
    <row r="174" spans="37:41" s="19" customFormat="1" ht="11.25" customHeight="1" x14ac:dyDescent="0.3">
      <c r="AK174" s="23"/>
      <c r="AL174" s="23"/>
      <c r="AM174" s="23"/>
      <c r="AN174" s="23"/>
      <c r="AO174" s="23"/>
    </row>
    <row r="175" spans="37:41" s="19" customFormat="1" ht="11.25" customHeight="1" x14ac:dyDescent="0.3">
      <c r="AK175" s="23"/>
      <c r="AL175" s="23"/>
      <c r="AM175" s="23"/>
      <c r="AN175" s="23"/>
      <c r="AO175" s="23"/>
    </row>
    <row r="176" spans="37:41" s="19" customFormat="1" ht="11.25" customHeight="1" x14ac:dyDescent="0.3">
      <c r="AK176" s="23"/>
      <c r="AL176" s="23"/>
      <c r="AM176" s="23"/>
      <c r="AN176" s="23"/>
      <c r="AO176" s="23"/>
    </row>
    <row r="177" spans="37:41" s="19" customFormat="1" ht="11.25" customHeight="1" x14ac:dyDescent="0.3">
      <c r="AK177" s="23"/>
      <c r="AL177" s="23"/>
      <c r="AM177" s="23"/>
      <c r="AN177" s="23"/>
      <c r="AO177" s="23"/>
    </row>
    <row r="178" spans="37:41" s="19" customFormat="1" ht="11.25" customHeight="1" x14ac:dyDescent="0.3">
      <c r="AK178" s="23"/>
      <c r="AL178" s="23"/>
      <c r="AM178" s="23"/>
      <c r="AN178" s="23"/>
      <c r="AO178" s="23"/>
    </row>
    <row r="179" spans="37:41" s="19" customFormat="1" ht="11.25" customHeight="1" x14ac:dyDescent="0.3">
      <c r="AK179" s="23"/>
      <c r="AL179" s="23"/>
      <c r="AM179" s="23"/>
      <c r="AN179" s="23"/>
      <c r="AO179" s="23"/>
    </row>
    <row r="180" spans="37:41" s="19" customFormat="1" ht="11.25" customHeight="1" x14ac:dyDescent="0.3">
      <c r="AK180" s="23"/>
      <c r="AL180" s="23"/>
      <c r="AM180" s="23"/>
      <c r="AN180" s="23"/>
      <c r="AO180" s="23"/>
    </row>
    <row r="181" spans="37:41" s="19" customFormat="1" ht="11.25" customHeight="1" x14ac:dyDescent="0.3">
      <c r="AK181" s="23"/>
      <c r="AL181" s="23"/>
      <c r="AM181" s="23"/>
      <c r="AN181" s="23"/>
      <c r="AO181" s="23"/>
    </row>
    <row r="182" spans="37:41" s="19" customFormat="1" ht="11.25" customHeight="1" x14ac:dyDescent="0.3">
      <c r="AK182" s="23"/>
      <c r="AL182" s="23"/>
      <c r="AM182" s="23"/>
      <c r="AN182" s="23"/>
      <c r="AO182" s="23"/>
    </row>
    <row r="183" spans="37:41" s="19" customFormat="1" ht="11.25" customHeight="1" x14ac:dyDescent="0.3">
      <c r="AK183" s="23"/>
      <c r="AL183" s="23"/>
      <c r="AM183" s="23"/>
      <c r="AN183" s="23"/>
      <c r="AO183" s="23"/>
    </row>
    <row r="184" spans="37:41" s="19" customFormat="1" ht="11.25" customHeight="1" x14ac:dyDescent="0.3">
      <c r="AK184" s="23"/>
      <c r="AL184" s="23"/>
      <c r="AM184" s="23"/>
      <c r="AN184" s="23"/>
      <c r="AO184" s="23"/>
    </row>
    <row r="185" spans="37:41" s="19" customFormat="1" ht="11.25" customHeight="1" x14ac:dyDescent="0.3">
      <c r="AK185" s="23"/>
      <c r="AL185" s="23"/>
      <c r="AM185" s="23"/>
      <c r="AN185" s="23"/>
      <c r="AO185" s="23"/>
    </row>
    <row r="186" spans="37:41" s="19" customFormat="1" ht="11.25" customHeight="1" x14ac:dyDescent="0.3">
      <c r="AK186" s="23"/>
      <c r="AL186" s="23"/>
      <c r="AM186" s="23"/>
      <c r="AN186" s="23"/>
      <c r="AO186" s="23"/>
    </row>
    <row r="187" spans="37:41" s="19" customFormat="1" ht="11.25" customHeight="1" x14ac:dyDescent="0.3">
      <c r="AK187" s="23"/>
      <c r="AL187" s="23"/>
      <c r="AM187" s="23"/>
      <c r="AN187" s="23"/>
      <c r="AO187" s="23"/>
    </row>
    <row r="188" spans="37:41" s="19" customFormat="1" ht="11.25" customHeight="1" x14ac:dyDescent="0.3">
      <c r="AK188" s="23"/>
      <c r="AL188" s="23"/>
      <c r="AM188" s="23"/>
      <c r="AN188" s="23"/>
      <c r="AO188" s="23"/>
    </row>
    <row r="189" spans="37:41" s="19" customFormat="1" ht="11.25" customHeight="1" x14ac:dyDescent="0.3">
      <c r="AK189" s="23"/>
      <c r="AL189" s="23"/>
      <c r="AM189" s="23"/>
      <c r="AN189" s="23"/>
      <c r="AO189" s="23"/>
    </row>
    <row r="190" spans="37:41" s="19" customFormat="1" ht="11.25" customHeight="1" x14ac:dyDescent="0.3">
      <c r="AK190" s="23"/>
      <c r="AL190" s="23"/>
      <c r="AM190" s="23"/>
      <c r="AN190" s="23"/>
      <c r="AO190" s="23"/>
    </row>
    <row r="191" spans="37:41" s="19" customFormat="1" ht="11.25" customHeight="1" x14ac:dyDescent="0.3">
      <c r="AK191" s="23"/>
      <c r="AL191" s="23"/>
      <c r="AM191" s="23"/>
      <c r="AN191" s="23"/>
      <c r="AO191" s="23"/>
    </row>
    <row r="192" spans="37:41" s="19" customFormat="1" ht="11.25" customHeight="1" x14ac:dyDescent="0.3">
      <c r="AK192" s="23"/>
      <c r="AL192" s="23"/>
      <c r="AM192" s="23"/>
      <c r="AN192" s="23"/>
      <c r="AO192" s="23"/>
    </row>
    <row r="193" spans="37:41" s="19" customFormat="1" ht="11.25" customHeight="1" x14ac:dyDescent="0.3">
      <c r="AK193" s="23"/>
      <c r="AL193" s="23"/>
      <c r="AM193" s="23"/>
      <c r="AN193" s="23"/>
      <c r="AO193" s="23"/>
    </row>
    <row r="194" spans="37:41" s="19" customFormat="1" ht="11.25" customHeight="1" x14ac:dyDescent="0.3">
      <c r="AK194" s="23"/>
      <c r="AL194" s="23"/>
      <c r="AM194" s="23"/>
      <c r="AN194" s="23"/>
      <c r="AO194" s="23"/>
    </row>
    <row r="195" spans="37:41" s="19" customFormat="1" ht="11.25" customHeight="1" x14ac:dyDescent="0.3">
      <c r="AK195" s="23"/>
      <c r="AL195" s="23"/>
      <c r="AM195" s="23"/>
      <c r="AN195" s="23"/>
      <c r="AO195" s="23"/>
    </row>
    <row r="196" spans="37:41" s="19" customFormat="1" ht="11.25" customHeight="1" x14ac:dyDescent="0.3">
      <c r="AK196" s="23"/>
      <c r="AL196" s="23"/>
      <c r="AM196" s="23"/>
      <c r="AN196" s="23"/>
      <c r="AO196" s="23"/>
    </row>
    <row r="197" spans="37:41" s="19" customFormat="1" ht="11.25" customHeight="1" x14ac:dyDescent="0.3">
      <c r="AK197" s="23"/>
      <c r="AL197" s="23"/>
      <c r="AM197" s="23"/>
      <c r="AN197" s="23"/>
      <c r="AO197" s="23"/>
    </row>
    <row r="198" spans="37:41" s="19" customFormat="1" ht="11.25" customHeight="1" x14ac:dyDescent="0.3">
      <c r="AK198" s="23"/>
      <c r="AL198" s="23"/>
      <c r="AM198" s="23"/>
      <c r="AN198" s="23"/>
      <c r="AO198" s="23"/>
    </row>
    <row r="199" spans="37:41" s="19" customFormat="1" ht="11.25" customHeight="1" x14ac:dyDescent="0.3">
      <c r="AK199" s="23"/>
      <c r="AL199" s="23"/>
      <c r="AM199" s="23"/>
      <c r="AN199" s="23"/>
      <c r="AO199" s="23"/>
    </row>
    <row r="200" spans="37:41" s="19" customFormat="1" ht="11.25" customHeight="1" x14ac:dyDescent="0.3">
      <c r="AK200" s="23"/>
      <c r="AL200" s="23"/>
      <c r="AM200" s="23"/>
      <c r="AN200" s="23"/>
      <c r="AO200" s="23"/>
    </row>
    <row r="201" spans="37:41" s="19" customFormat="1" ht="11.25" customHeight="1" x14ac:dyDescent="0.3">
      <c r="AK201" s="23"/>
      <c r="AL201" s="23"/>
      <c r="AM201" s="23"/>
      <c r="AN201" s="23"/>
      <c r="AO201" s="23"/>
    </row>
    <row r="202" spans="37:41" s="19" customFormat="1" ht="11.25" customHeight="1" x14ac:dyDescent="0.3">
      <c r="AK202" s="23"/>
      <c r="AL202" s="23"/>
      <c r="AM202" s="23"/>
      <c r="AN202" s="23"/>
      <c r="AO202" s="23"/>
    </row>
    <row r="203" spans="37:41" s="19" customFormat="1" ht="11.25" customHeight="1" x14ac:dyDescent="0.3">
      <c r="AK203" s="23"/>
      <c r="AL203" s="23"/>
      <c r="AM203" s="23"/>
      <c r="AN203" s="23"/>
      <c r="AO203" s="23"/>
    </row>
    <row r="204" spans="37:41" s="19" customFormat="1" ht="11.25" customHeight="1" x14ac:dyDescent="0.3">
      <c r="AK204" s="23"/>
      <c r="AL204" s="23"/>
      <c r="AM204" s="23"/>
      <c r="AN204" s="23"/>
      <c r="AO204" s="23"/>
    </row>
    <row r="205" spans="37:41" s="19" customFormat="1" ht="11.25" customHeight="1" x14ac:dyDescent="0.3">
      <c r="AK205" s="23"/>
      <c r="AL205" s="23"/>
      <c r="AM205" s="23"/>
      <c r="AN205" s="23"/>
      <c r="AO205" s="23"/>
    </row>
    <row r="206" spans="37:41" s="19" customFormat="1" ht="11.25" customHeight="1" x14ac:dyDescent="0.3">
      <c r="AK206" s="23"/>
      <c r="AL206" s="23"/>
      <c r="AM206" s="23"/>
      <c r="AN206" s="23"/>
      <c r="AO206" s="23"/>
    </row>
    <row r="207" spans="37:41" s="19" customFormat="1" ht="11.25" customHeight="1" x14ac:dyDescent="0.3">
      <c r="AK207" s="23"/>
      <c r="AL207" s="23"/>
      <c r="AM207" s="23"/>
      <c r="AN207" s="23"/>
      <c r="AO207" s="23"/>
    </row>
    <row r="208" spans="37:41" s="19" customFormat="1" ht="11.25" customHeight="1" x14ac:dyDescent="0.3">
      <c r="AK208" s="23"/>
      <c r="AL208" s="23"/>
      <c r="AM208" s="23"/>
      <c r="AN208" s="23"/>
      <c r="AO208" s="23"/>
    </row>
    <row r="209" spans="37:41" s="19" customFormat="1" ht="11.25" customHeight="1" x14ac:dyDescent="0.3">
      <c r="AK209" s="23"/>
      <c r="AL209" s="23"/>
      <c r="AM209" s="23"/>
      <c r="AN209" s="23"/>
      <c r="AO209" s="23"/>
    </row>
    <row r="210" spans="37:41" s="19" customFormat="1" ht="11.25" customHeight="1" x14ac:dyDescent="0.3">
      <c r="AK210" s="23"/>
      <c r="AL210" s="23"/>
      <c r="AM210" s="23"/>
      <c r="AN210" s="23"/>
      <c r="AO210" s="23"/>
    </row>
    <row r="211" spans="37:41" s="19" customFormat="1" ht="11.25" customHeight="1" x14ac:dyDescent="0.3">
      <c r="AK211" s="23"/>
      <c r="AL211" s="23"/>
      <c r="AM211" s="23"/>
      <c r="AN211" s="23"/>
      <c r="AO211" s="23"/>
    </row>
    <row r="212" spans="37:41" s="19" customFormat="1" ht="11.25" customHeight="1" x14ac:dyDescent="0.3">
      <c r="AK212" s="23"/>
      <c r="AL212" s="23"/>
      <c r="AM212" s="23"/>
      <c r="AN212" s="23"/>
      <c r="AO212" s="23"/>
    </row>
    <row r="213" spans="37:41" s="19" customFormat="1" ht="11.25" customHeight="1" x14ac:dyDescent="0.3">
      <c r="AK213" s="23"/>
      <c r="AL213" s="23"/>
      <c r="AM213" s="23"/>
      <c r="AN213" s="23"/>
      <c r="AO213" s="23"/>
    </row>
    <row r="214" spans="37:41" s="19" customFormat="1" ht="11.25" customHeight="1" x14ac:dyDescent="0.3">
      <c r="AK214" s="23"/>
      <c r="AL214" s="23"/>
      <c r="AM214" s="23"/>
      <c r="AN214" s="23"/>
      <c r="AO214" s="23"/>
    </row>
    <row r="215" spans="37:41" s="19" customFormat="1" ht="11.25" customHeight="1" x14ac:dyDescent="0.3">
      <c r="AK215" s="23"/>
      <c r="AL215" s="23"/>
      <c r="AM215" s="23"/>
      <c r="AN215" s="23"/>
      <c r="AO215" s="23"/>
    </row>
    <row r="216" spans="37:41" s="19" customFormat="1" ht="11.25" customHeight="1" x14ac:dyDescent="0.3">
      <c r="AK216" s="23"/>
      <c r="AL216" s="23"/>
      <c r="AM216" s="23"/>
      <c r="AN216" s="23"/>
      <c r="AO216" s="23"/>
    </row>
    <row r="217" spans="37:41" s="19" customFormat="1" ht="11.25" customHeight="1" x14ac:dyDescent="0.3">
      <c r="AK217" s="23"/>
      <c r="AL217" s="23"/>
      <c r="AM217" s="23"/>
      <c r="AN217" s="23"/>
      <c r="AO217" s="23"/>
    </row>
    <row r="218" spans="37:41" s="19" customFormat="1" ht="11.25" customHeight="1" x14ac:dyDescent="0.3">
      <c r="AK218" s="23"/>
      <c r="AL218" s="23"/>
      <c r="AM218" s="23"/>
      <c r="AN218" s="23"/>
      <c r="AO218" s="23"/>
    </row>
    <row r="219" spans="37:41" s="19" customFormat="1" ht="11.25" customHeight="1" x14ac:dyDescent="0.3">
      <c r="AK219" s="23"/>
      <c r="AL219" s="23"/>
      <c r="AM219" s="23"/>
      <c r="AN219" s="23"/>
      <c r="AO219" s="23"/>
    </row>
    <row r="220" spans="37:41" s="19" customFormat="1" ht="11.25" customHeight="1" x14ac:dyDescent="0.3">
      <c r="AK220" s="23"/>
      <c r="AL220" s="23"/>
      <c r="AM220" s="23"/>
      <c r="AN220" s="23"/>
      <c r="AO220" s="23"/>
    </row>
    <row r="221" spans="37:41" s="19" customFormat="1" ht="11.25" customHeight="1" x14ac:dyDescent="0.3">
      <c r="AK221" s="23"/>
      <c r="AL221" s="23"/>
      <c r="AM221" s="23"/>
      <c r="AN221" s="23"/>
      <c r="AO221" s="23"/>
    </row>
    <row r="222" spans="37:41" s="19" customFormat="1" ht="11.25" customHeight="1" x14ac:dyDescent="0.3">
      <c r="AK222" s="23"/>
      <c r="AL222" s="23"/>
      <c r="AM222" s="23"/>
      <c r="AN222" s="23"/>
      <c r="AO222" s="23"/>
    </row>
    <row r="223" spans="37:41" s="19" customFormat="1" ht="11.25" customHeight="1" x14ac:dyDescent="0.3">
      <c r="AK223" s="23"/>
      <c r="AL223" s="23"/>
      <c r="AM223" s="23"/>
      <c r="AN223" s="23"/>
      <c r="AO223" s="23"/>
    </row>
    <row r="224" spans="37:41" s="19" customFormat="1" ht="11.25" customHeight="1" x14ac:dyDescent="0.3">
      <c r="AK224" s="23"/>
      <c r="AL224" s="23"/>
      <c r="AM224" s="23"/>
      <c r="AN224" s="23"/>
      <c r="AO224" s="23"/>
    </row>
    <row r="225" spans="37:41" s="19" customFormat="1" ht="11.25" customHeight="1" x14ac:dyDescent="0.3">
      <c r="AK225" s="23"/>
      <c r="AL225" s="23"/>
      <c r="AM225" s="23"/>
      <c r="AN225" s="23"/>
      <c r="AO225" s="23"/>
    </row>
    <row r="226" spans="37:41" s="19" customFormat="1" ht="11.25" customHeight="1" x14ac:dyDescent="0.3">
      <c r="AK226" s="23"/>
      <c r="AL226" s="23"/>
      <c r="AM226" s="23"/>
      <c r="AN226" s="23"/>
      <c r="AO226" s="23"/>
    </row>
    <row r="227" spans="37:41" s="19" customFormat="1" ht="11.25" customHeight="1" x14ac:dyDescent="0.3">
      <c r="AK227" s="23"/>
      <c r="AL227" s="23"/>
      <c r="AM227" s="23"/>
      <c r="AN227" s="23"/>
      <c r="AO227" s="23"/>
    </row>
    <row r="228" spans="37:41" s="19" customFormat="1" ht="11.25" customHeight="1" x14ac:dyDescent="0.3">
      <c r="AK228" s="23"/>
      <c r="AL228" s="23"/>
      <c r="AM228" s="23"/>
      <c r="AN228" s="23"/>
      <c r="AO228" s="23"/>
    </row>
    <row r="229" spans="37:41" s="19" customFormat="1" ht="11.25" customHeight="1" x14ac:dyDescent="0.3">
      <c r="AK229" s="23"/>
      <c r="AL229" s="23"/>
      <c r="AM229" s="23"/>
      <c r="AN229" s="23"/>
      <c r="AO229" s="23"/>
    </row>
    <row r="230" spans="37:41" s="19" customFormat="1" ht="11.25" customHeight="1" x14ac:dyDescent="0.3">
      <c r="AK230" s="23"/>
      <c r="AL230" s="23"/>
      <c r="AM230" s="23"/>
      <c r="AN230" s="23"/>
      <c r="AO230" s="23"/>
    </row>
    <row r="231" spans="37:41" s="19" customFormat="1" ht="11.25" customHeight="1" x14ac:dyDescent="0.3">
      <c r="AK231" s="23"/>
      <c r="AL231" s="23"/>
      <c r="AM231" s="23"/>
      <c r="AN231" s="23"/>
      <c r="AO231" s="23"/>
    </row>
    <row r="232" spans="37:41" s="19" customFormat="1" ht="11.25" customHeight="1" x14ac:dyDescent="0.3">
      <c r="AK232" s="23"/>
      <c r="AL232" s="23"/>
      <c r="AM232" s="23"/>
      <c r="AN232" s="23"/>
      <c r="AO232" s="23"/>
    </row>
    <row r="233" spans="37:41" s="19" customFormat="1" ht="11.25" customHeight="1" x14ac:dyDescent="0.3">
      <c r="AK233" s="23"/>
      <c r="AL233" s="23"/>
      <c r="AM233" s="23"/>
      <c r="AN233" s="23"/>
      <c r="AO233" s="23"/>
    </row>
    <row r="234" spans="37:41" s="19" customFormat="1" ht="11.25" customHeight="1" x14ac:dyDescent="0.3">
      <c r="AK234" s="23"/>
      <c r="AL234" s="23"/>
      <c r="AM234" s="23"/>
      <c r="AN234" s="23"/>
      <c r="AO234" s="23"/>
    </row>
    <row r="235" spans="37:41" s="19" customFormat="1" ht="11.25" customHeight="1" x14ac:dyDescent="0.3">
      <c r="AK235" s="23"/>
      <c r="AL235" s="23"/>
      <c r="AM235" s="23"/>
      <c r="AN235" s="23"/>
      <c r="AO235" s="23"/>
    </row>
    <row r="236" spans="37:41" s="19" customFormat="1" ht="11.25" customHeight="1" x14ac:dyDescent="0.3">
      <c r="AK236" s="23"/>
      <c r="AL236" s="23"/>
      <c r="AM236" s="23"/>
      <c r="AN236" s="23"/>
      <c r="AO236" s="23"/>
    </row>
    <row r="237" spans="37:41" s="19" customFormat="1" ht="11.25" customHeight="1" x14ac:dyDescent="0.3">
      <c r="AK237" s="23"/>
      <c r="AL237" s="23"/>
      <c r="AM237" s="23"/>
      <c r="AN237" s="23"/>
      <c r="AO237" s="23"/>
    </row>
    <row r="238" spans="37:41" s="19" customFormat="1" ht="11.25" customHeight="1" x14ac:dyDescent="0.3">
      <c r="AK238" s="23"/>
      <c r="AL238" s="23"/>
      <c r="AM238" s="23"/>
      <c r="AN238" s="23"/>
      <c r="AO238" s="23"/>
    </row>
    <row r="239" spans="37:41" s="19" customFormat="1" ht="11.25" customHeight="1" x14ac:dyDescent="0.3">
      <c r="AK239" s="23"/>
      <c r="AL239" s="23"/>
      <c r="AM239" s="23"/>
      <c r="AN239" s="23"/>
      <c r="AO239" s="23"/>
    </row>
    <row r="240" spans="37:41" s="19" customFormat="1" ht="11.25" customHeight="1" x14ac:dyDescent="0.3">
      <c r="AK240" s="23"/>
      <c r="AL240" s="23"/>
      <c r="AM240" s="23"/>
      <c r="AN240" s="23"/>
      <c r="AO240" s="23"/>
    </row>
    <row r="241" spans="37:41" s="19" customFormat="1" ht="11.25" customHeight="1" x14ac:dyDescent="0.3">
      <c r="AK241" s="23"/>
      <c r="AL241" s="23"/>
      <c r="AM241" s="23"/>
      <c r="AN241" s="23"/>
      <c r="AO241" s="23"/>
    </row>
    <row r="242" spans="37:41" s="19" customFormat="1" ht="11.25" customHeight="1" x14ac:dyDescent="0.3">
      <c r="AK242" s="23"/>
      <c r="AL242" s="23"/>
      <c r="AM242" s="23"/>
      <c r="AN242" s="23"/>
      <c r="AO242" s="23"/>
    </row>
    <row r="243" spans="37:41" s="19" customFormat="1" ht="11.25" customHeight="1" x14ac:dyDescent="0.3">
      <c r="AK243" s="23"/>
      <c r="AL243" s="23"/>
      <c r="AM243" s="23"/>
      <c r="AN243" s="23"/>
      <c r="AO243" s="23"/>
    </row>
    <row r="244" spans="37:41" s="19" customFormat="1" ht="11.25" customHeight="1" x14ac:dyDescent="0.3">
      <c r="AK244" s="23"/>
      <c r="AL244" s="23"/>
      <c r="AM244" s="23"/>
      <c r="AN244" s="23"/>
      <c r="AO244" s="23"/>
    </row>
    <row r="245" spans="37:41" s="19" customFormat="1" ht="11.25" customHeight="1" x14ac:dyDescent="0.3">
      <c r="AK245" s="23"/>
      <c r="AL245" s="23"/>
      <c r="AM245" s="23"/>
      <c r="AN245" s="23"/>
      <c r="AO245" s="23"/>
    </row>
    <row r="246" spans="37:41" s="19" customFormat="1" ht="11.25" customHeight="1" x14ac:dyDescent="0.3">
      <c r="AK246" s="23"/>
      <c r="AL246" s="23"/>
      <c r="AM246" s="23"/>
      <c r="AN246" s="23"/>
      <c r="AO246" s="23"/>
    </row>
    <row r="247" spans="37:41" s="19" customFormat="1" ht="11.25" customHeight="1" x14ac:dyDescent="0.3">
      <c r="AK247" s="23"/>
      <c r="AL247" s="23"/>
      <c r="AM247" s="23"/>
      <c r="AN247" s="23"/>
      <c r="AO247" s="23"/>
    </row>
    <row r="248" spans="37:41" s="19" customFormat="1" ht="11.25" customHeight="1" x14ac:dyDescent="0.3">
      <c r="AK248" s="23"/>
      <c r="AL248" s="23"/>
      <c r="AM248" s="23"/>
      <c r="AN248" s="23"/>
      <c r="AO248" s="23"/>
    </row>
    <row r="249" spans="37:41" s="19" customFormat="1" ht="11.25" customHeight="1" x14ac:dyDescent="0.3">
      <c r="AK249" s="23"/>
      <c r="AL249" s="23"/>
      <c r="AM249" s="23"/>
      <c r="AN249" s="23"/>
      <c r="AO249" s="23"/>
    </row>
    <row r="250" spans="37:41" s="19" customFormat="1" ht="11.25" customHeight="1" x14ac:dyDescent="0.3">
      <c r="AK250" s="23"/>
      <c r="AL250" s="23"/>
      <c r="AM250" s="23"/>
      <c r="AN250" s="23"/>
      <c r="AO250" s="23"/>
    </row>
    <row r="251" spans="37:41" s="19" customFormat="1" ht="11.25" customHeight="1" x14ac:dyDescent="0.3">
      <c r="AK251" s="23"/>
      <c r="AL251" s="23"/>
      <c r="AM251" s="23"/>
      <c r="AN251" s="23"/>
      <c r="AO251" s="23"/>
    </row>
    <row r="252" spans="37:41" s="19" customFormat="1" ht="11.25" customHeight="1" x14ac:dyDescent="0.3">
      <c r="AK252" s="23"/>
      <c r="AL252" s="23"/>
      <c r="AM252" s="23"/>
      <c r="AN252" s="23"/>
      <c r="AO252" s="23"/>
    </row>
    <row r="253" spans="37:41" s="19" customFormat="1" ht="11.25" customHeight="1" x14ac:dyDescent="0.3">
      <c r="AK253" s="23"/>
      <c r="AL253" s="23"/>
      <c r="AM253" s="23"/>
      <c r="AN253" s="23"/>
      <c r="AO253" s="23"/>
    </row>
    <row r="254" spans="37:41" s="19" customFormat="1" ht="11.25" customHeight="1" x14ac:dyDescent="0.3">
      <c r="AK254" s="23"/>
      <c r="AL254" s="23"/>
      <c r="AM254" s="23"/>
      <c r="AN254" s="23"/>
      <c r="AO254" s="23"/>
    </row>
    <row r="255" spans="37:41" s="19" customFormat="1" ht="11.25" customHeight="1" x14ac:dyDescent="0.3">
      <c r="AK255" s="23"/>
      <c r="AL255" s="23"/>
      <c r="AM255" s="23"/>
      <c r="AN255" s="23"/>
      <c r="AO255" s="23"/>
    </row>
    <row r="256" spans="37:41" s="19" customFormat="1" ht="11.25" customHeight="1" x14ac:dyDescent="0.3">
      <c r="AK256" s="23"/>
      <c r="AL256" s="23"/>
      <c r="AM256" s="23"/>
      <c r="AN256" s="23"/>
      <c r="AO256" s="23"/>
    </row>
    <row r="257" spans="37:41" s="19" customFormat="1" ht="11.25" customHeight="1" x14ac:dyDescent="0.3">
      <c r="AK257" s="23"/>
      <c r="AL257" s="23"/>
      <c r="AM257" s="23"/>
      <c r="AN257" s="23"/>
      <c r="AO257" s="23"/>
    </row>
    <row r="258" spans="37:41" s="19" customFormat="1" ht="11.25" customHeight="1" x14ac:dyDescent="0.3">
      <c r="AK258" s="23"/>
      <c r="AL258" s="23"/>
      <c r="AM258" s="23"/>
      <c r="AN258" s="23"/>
      <c r="AO258" s="23"/>
    </row>
    <row r="259" spans="37:41" s="19" customFormat="1" ht="11.25" customHeight="1" x14ac:dyDescent="0.3">
      <c r="AK259" s="23"/>
      <c r="AL259" s="23"/>
      <c r="AM259" s="23"/>
      <c r="AN259" s="23"/>
      <c r="AO259" s="23"/>
    </row>
    <row r="260" spans="37:41" s="19" customFormat="1" ht="11.25" customHeight="1" x14ac:dyDescent="0.3">
      <c r="AK260" s="23"/>
      <c r="AL260" s="23"/>
      <c r="AM260" s="23"/>
      <c r="AN260" s="23"/>
      <c r="AO260" s="23"/>
    </row>
    <row r="261" spans="37:41" s="19" customFormat="1" ht="11.25" customHeight="1" x14ac:dyDescent="0.3">
      <c r="AK261" s="23"/>
      <c r="AL261" s="23"/>
      <c r="AM261" s="23"/>
      <c r="AN261" s="23"/>
      <c r="AO261" s="23"/>
    </row>
    <row r="262" spans="37:41" s="19" customFormat="1" ht="11.25" customHeight="1" x14ac:dyDescent="0.3">
      <c r="AK262" s="23"/>
      <c r="AL262" s="23"/>
      <c r="AM262" s="23"/>
      <c r="AN262" s="23"/>
      <c r="AO262" s="23"/>
    </row>
    <row r="263" spans="37:41" s="19" customFormat="1" ht="11.25" customHeight="1" x14ac:dyDescent="0.3">
      <c r="AK263" s="23"/>
      <c r="AL263" s="23"/>
      <c r="AM263" s="23"/>
      <c r="AN263" s="23"/>
      <c r="AO263" s="23"/>
    </row>
    <row r="264" spans="37:41" s="19" customFormat="1" ht="11.25" customHeight="1" x14ac:dyDescent="0.3">
      <c r="AK264" s="23"/>
      <c r="AL264" s="23"/>
      <c r="AM264" s="23"/>
      <c r="AN264" s="23"/>
      <c r="AO264" s="23"/>
    </row>
    <row r="265" spans="37:41" s="19" customFormat="1" ht="11.25" customHeight="1" x14ac:dyDescent="0.3">
      <c r="AK265" s="23"/>
      <c r="AL265" s="23"/>
      <c r="AM265" s="23"/>
      <c r="AN265" s="23"/>
      <c r="AO265" s="23"/>
    </row>
    <row r="266" spans="37:41" s="19" customFormat="1" ht="11.25" customHeight="1" x14ac:dyDescent="0.3">
      <c r="AK266" s="23"/>
      <c r="AL266" s="23"/>
      <c r="AM266" s="23"/>
      <c r="AN266" s="23"/>
      <c r="AO266" s="23"/>
    </row>
    <row r="267" spans="37:41" s="19" customFormat="1" ht="11.25" customHeight="1" x14ac:dyDescent="0.3">
      <c r="AK267" s="23"/>
      <c r="AL267" s="23"/>
      <c r="AM267" s="23"/>
      <c r="AN267" s="23"/>
      <c r="AO267" s="23"/>
    </row>
    <row r="268" spans="37:41" s="19" customFormat="1" ht="11.25" customHeight="1" x14ac:dyDescent="0.3">
      <c r="AK268" s="23"/>
      <c r="AL268" s="23"/>
      <c r="AM268" s="23"/>
      <c r="AN268" s="23"/>
      <c r="AO268" s="23"/>
    </row>
    <row r="269" spans="37:41" s="19" customFormat="1" ht="11.25" customHeight="1" x14ac:dyDescent="0.3">
      <c r="AK269" s="23"/>
      <c r="AL269" s="23"/>
      <c r="AM269" s="23"/>
      <c r="AN269" s="23"/>
      <c r="AO269" s="23"/>
    </row>
    <row r="270" spans="37:41" s="19" customFormat="1" ht="11.25" customHeight="1" x14ac:dyDescent="0.3">
      <c r="AK270" s="23"/>
      <c r="AL270" s="23"/>
      <c r="AM270" s="23"/>
      <c r="AN270" s="23"/>
      <c r="AO270" s="23"/>
    </row>
    <row r="271" spans="37:41" s="19" customFormat="1" ht="11.25" customHeight="1" x14ac:dyDescent="0.3">
      <c r="AK271" s="23"/>
      <c r="AL271" s="23"/>
      <c r="AM271" s="23"/>
      <c r="AN271" s="23"/>
      <c r="AO271" s="23"/>
    </row>
    <row r="272" spans="37:41" s="19" customFormat="1" ht="11.25" customHeight="1" x14ac:dyDescent="0.3">
      <c r="AK272" s="23"/>
      <c r="AL272" s="23"/>
      <c r="AM272" s="23"/>
      <c r="AN272" s="23"/>
      <c r="AO272" s="23"/>
    </row>
    <row r="273" spans="37:41" s="19" customFormat="1" ht="11.25" customHeight="1" x14ac:dyDescent="0.3">
      <c r="AK273" s="23"/>
      <c r="AL273" s="23"/>
      <c r="AM273" s="23"/>
      <c r="AN273" s="23"/>
      <c r="AO273" s="23"/>
    </row>
    <row r="274" spans="37:41" s="19" customFormat="1" ht="11.25" customHeight="1" x14ac:dyDescent="0.3">
      <c r="AK274" s="23"/>
      <c r="AL274" s="23"/>
      <c r="AM274" s="23"/>
      <c r="AN274" s="23"/>
      <c r="AO274" s="23"/>
    </row>
    <row r="275" spans="37:41" s="19" customFormat="1" ht="11.25" customHeight="1" x14ac:dyDescent="0.3">
      <c r="AK275" s="23"/>
      <c r="AL275" s="23"/>
      <c r="AM275" s="23"/>
      <c r="AN275" s="23"/>
      <c r="AO275" s="23"/>
    </row>
    <row r="276" spans="37:41" s="19" customFormat="1" ht="11.25" customHeight="1" x14ac:dyDescent="0.3">
      <c r="AK276" s="23"/>
      <c r="AL276" s="23"/>
      <c r="AM276" s="23"/>
      <c r="AN276" s="23"/>
      <c r="AO276" s="23"/>
    </row>
    <row r="277" spans="37:41" s="19" customFormat="1" ht="11.25" customHeight="1" x14ac:dyDescent="0.3">
      <c r="AK277" s="23"/>
      <c r="AL277" s="23"/>
      <c r="AM277" s="23"/>
      <c r="AN277" s="23"/>
      <c r="AO277" s="23"/>
    </row>
    <row r="278" spans="37:41" s="19" customFormat="1" ht="11.25" customHeight="1" x14ac:dyDescent="0.3">
      <c r="AK278" s="23"/>
      <c r="AL278" s="23"/>
      <c r="AM278" s="23"/>
      <c r="AN278" s="23"/>
      <c r="AO278" s="23"/>
    </row>
    <row r="279" spans="37:41" s="19" customFormat="1" ht="11.25" customHeight="1" x14ac:dyDescent="0.3">
      <c r="AK279" s="23"/>
      <c r="AL279" s="23"/>
      <c r="AM279" s="23"/>
      <c r="AN279" s="23"/>
      <c r="AO279" s="23"/>
    </row>
    <row r="280" spans="37:41" s="19" customFormat="1" ht="11.25" customHeight="1" x14ac:dyDescent="0.3">
      <c r="AK280" s="23"/>
      <c r="AL280" s="23"/>
      <c r="AM280" s="23"/>
      <c r="AN280" s="23"/>
      <c r="AO280" s="23"/>
    </row>
    <row r="281" spans="37:41" s="19" customFormat="1" ht="11.25" customHeight="1" x14ac:dyDescent="0.3">
      <c r="AK281" s="23"/>
      <c r="AL281" s="23"/>
      <c r="AM281" s="23"/>
      <c r="AN281" s="23"/>
      <c r="AO281" s="23"/>
    </row>
    <row r="282" spans="37:41" s="19" customFormat="1" ht="11.25" customHeight="1" x14ac:dyDescent="0.3">
      <c r="AK282" s="23"/>
      <c r="AL282" s="23"/>
      <c r="AM282" s="23"/>
      <c r="AN282" s="23"/>
      <c r="AO282" s="23"/>
    </row>
    <row r="283" spans="37:41" s="19" customFormat="1" ht="11.25" customHeight="1" x14ac:dyDescent="0.3">
      <c r="AK283" s="23"/>
      <c r="AL283" s="23"/>
      <c r="AM283" s="23"/>
      <c r="AN283" s="23"/>
      <c r="AO283" s="23"/>
    </row>
    <row r="284" spans="37:41" s="19" customFormat="1" ht="11.25" customHeight="1" x14ac:dyDescent="0.3">
      <c r="AK284" s="23"/>
      <c r="AL284" s="23"/>
      <c r="AM284" s="23"/>
      <c r="AN284" s="23"/>
      <c r="AO284" s="23"/>
    </row>
    <row r="285" spans="37:41" s="19" customFormat="1" ht="11.25" customHeight="1" x14ac:dyDescent="0.3">
      <c r="AK285" s="23"/>
      <c r="AL285" s="23"/>
      <c r="AM285" s="23"/>
      <c r="AN285" s="23"/>
      <c r="AO285" s="23"/>
    </row>
    <row r="286" spans="37:41" s="19" customFormat="1" ht="11.25" customHeight="1" x14ac:dyDescent="0.3">
      <c r="AK286" s="23"/>
      <c r="AL286" s="23"/>
      <c r="AM286" s="23"/>
      <c r="AN286" s="23"/>
      <c r="AO286" s="23"/>
    </row>
    <row r="287" spans="37:41" s="19" customFormat="1" ht="11.25" customHeight="1" x14ac:dyDescent="0.3">
      <c r="AK287" s="23"/>
      <c r="AL287" s="23"/>
      <c r="AM287" s="23"/>
      <c r="AN287" s="23"/>
      <c r="AO287" s="23"/>
    </row>
    <row r="288" spans="37:41" s="19" customFormat="1" ht="11.25" customHeight="1" x14ac:dyDescent="0.3">
      <c r="AK288" s="23"/>
      <c r="AL288" s="23"/>
      <c r="AM288" s="23"/>
      <c r="AN288" s="23"/>
      <c r="AO288" s="23"/>
    </row>
    <row r="289" spans="37:41" s="19" customFormat="1" ht="11.25" customHeight="1" x14ac:dyDescent="0.3">
      <c r="AK289" s="23"/>
      <c r="AL289" s="23"/>
      <c r="AM289" s="23"/>
      <c r="AN289" s="23"/>
      <c r="AO289" s="23"/>
    </row>
    <row r="290" spans="37:41" s="19" customFormat="1" ht="11.25" customHeight="1" x14ac:dyDescent="0.3">
      <c r="AK290" s="23"/>
      <c r="AL290" s="23"/>
      <c r="AM290" s="23"/>
      <c r="AN290" s="23"/>
      <c r="AO290" s="23"/>
    </row>
    <row r="291" spans="37:41" s="19" customFormat="1" ht="11.25" customHeight="1" x14ac:dyDescent="0.3">
      <c r="AK291" s="23"/>
      <c r="AL291" s="23"/>
      <c r="AM291" s="23"/>
      <c r="AN291" s="23"/>
      <c r="AO291" s="23"/>
    </row>
    <row r="292" spans="37:41" s="19" customFormat="1" ht="11.25" customHeight="1" x14ac:dyDescent="0.3">
      <c r="AK292" s="23"/>
      <c r="AL292" s="23"/>
      <c r="AM292" s="23"/>
      <c r="AN292" s="23"/>
      <c r="AO292" s="23"/>
    </row>
    <row r="293" spans="37:41" s="19" customFormat="1" ht="11.25" customHeight="1" x14ac:dyDescent="0.3">
      <c r="AK293" s="23"/>
      <c r="AL293" s="23"/>
      <c r="AM293" s="23"/>
      <c r="AN293" s="23"/>
      <c r="AO293" s="23"/>
    </row>
    <row r="294" spans="37:41" s="19" customFormat="1" ht="11.25" customHeight="1" x14ac:dyDescent="0.3">
      <c r="AK294" s="23"/>
      <c r="AL294" s="23"/>
      <c r="AM294" s="23"/>
      <c r="AN294" s="23"/>
      <c r="AO294" s="23"/>
    </row>
    <row r="295" spans="37:41" s="19" customFormat="1" ht="11.25" customHeight="1" x14ac:dyDescent="0.3">
      <c r="AK295" s="23"/>
      <c r="AL295" s="23"/>
      <c r="AM295" s="23"/>
      <c r="AN295" s="23"/>
      <c r="AO295" s="23"/>
    </row>
    <row r="296" spans="37:41" s="19" customFormat="1" ht="11.25" customHeight="1" x14ac:dyDescent="0.3">
      <c r="AK296" s="23"/>
      <c r="AL296" s="23"/>
      <c r="AM296" s="23"/>
      <c r="AN296" s="23"/>
      <c r="AO296" s="23"/>
    </row>
    <row r="297" spans="37:41" s="19" customFormat="1" ht="11.25" customHeight="1" x14ac:dyDescent="0.3">
      <c r="AK297" s="23"/>
      <c r="AL297" s="23"/>
      <c r="AM297" s="23"/>
      <c r="AN297" s="23"/>
      <c r="AO297" s="23"/>
    </row>
    <row r="298" spans="37:41" s="19" customFormat="1" ht="11.25" customHeight="1" x14ac:dyDescent="0.3">
      <c r="AK298" s="23"/>
      <c r="AL298" s="23"/>
      <c r="AM298" s="23"/>
      <c r="AN298" s="23"/>
      <c r="AO298" s="23"/>
    </row>
    <row r="299" spans="37:41" s="19" customFormat="1" ht="11.25" customHeight="1" x14ac:dyDescent="0.3">
      <c r="AK299" s="23"/>
      <c r="AL299" s="23"/>
      <c r="AM299" s="23"/>
      <c r="AN299" s="23"/>
      <c r="AO299" s="23"/>
    </row>
    <row r="300" spans="37:41" s="19" customFormat="1" ht="11.25" customHeight="1" x14ac:dyDescent="0.3">
      <c r="AK300" s="23"/>
      <c r="AL300" s="23"/>
      <c r="AM300" s="23"/>
      <c r="AN300" s="23"/>
      <c r="AO300" s="23"/>
    </row>
    <row r="301" spans="37:41" s="19" customFormat="1" ht="11.25" customHeight="1" x14ac:dyDescent="0.3">
      <c r="AK301" s="23"/>
      <c r="AL301" s="23"/>
      <c r="AM301" s="23"/>
      <c r="AN301" s="23"/>
      <c r="AO301" s="23"/>
    </row>
    <row r="302" spans="37:41" s="19" customFormat="1" ht="11.25" customHeight="1" x14ac:dyDescent="0.3">
      <c r="AK302" s="23"/>
      <c r="AL302" s="23"/>
      <c r="AM302" s="23"/>
      <c r="AN302" s="23"/>
      <c r="AO302" s="23"/>
    </row>
    <row r="303" spans="37:41" s="19" customFormat="1" ht="11.25" customHeight="1" x14ac:dyDescent="0.3">
      <c r="AK303" s="23"/>
      <c r="AL303" s="23"/>
      <c r="AM303" s="23"/>
      <c r="AN303" s="23"/>
      <c r="AO303" s="23"/>
    </row>
    <row r="304" spans="37:41" s="19" customFormat="1" ht="11.25" customHeight="1" x14ac:dyDescent="0.3">
      <c r="AK304" s="23"/>
      <c r="AL304" s="23"/>
      <c r="AM304" s="23"/>
      <c r="AN304" s="23"/>
      <c r="AO304" s="23"/>
    </row>
    <row r="305" spans="37:41" s="19" customFormat="1" ht="11.25" customHeight="1" x14ac:dyDescent="0.3">
      <c r="AK305" s="23"/>
      <c r="AL305" s="23"/>
      <c r="AM305" s="23"/>
      <c r="AN305" s="23"/>
      <c r="AO305" s="23"/>
    </row>
    <row r="306" spans="37:41" s="19" customFormat="1" ht="11.25" customHeight="1" x14ac:dyDescent="0.3">
      <c r="AK306" s="23"/>
      <c r="AL306" s="23"/>
      <c r="AM306" s="23"/>
      <c r="AN306" s="23"/>
      <c r="AO306" s="23"/>
    </row>
    <row r="307" spans="37:41" s="19" customFormat="1" ht="11.25" customHeight="1" x14ac:dyDescent="0.3">
      <c r="AK307" s="23"/>
      <c r="AL307" s="23"/>
      <c r="AM307" s="23"/>
      <c r="AN307" s="23"/>
      <c r="AO307" s="23"/>
    </row>
    <row r="308" spans="37:41" s="19" customFormat="1" ht="11.25" customHeight="1" x14ac:dyDescent="0.3">
      <c r="AK308" s="23"/>
      <c r="AL308" s="23"/>
      <c r="AM308" s="23"/>
      <c r="AN308" s="23"/>
      <c r="AO308" s="23"/>
    </row>
    <row r="309" spans="37:41" s="19" customFormat="1" ht="11.25" customHeight="1" x14ac:dyDescent="0.3">
      <c r="AK309" s="23"/>
      <c r="AL309" s="23"/>
      <c r="AM309" s="23"/>
      <c r="AN309" s="23"/>
      <c r="AO309" s="23"/>
    </row>
    <row r="310" spans="37:41" s="19" customFormat="1" ht="11.25" customHeight="1" x14ac:dyDescent="0.3">
      <c r="AK310" s="23"/>
      <c r="AL310" s="23"/>
      <c r="AM310" s="23"/>
      <c r="AN310" s="23"/>
      <c r="AO310" s="23"/>
    </row>
    <row r="311" spans="37:41" s="19" customFormat="1" ht="11.25" customHeight="1" x14ac:dyDescent="0.3">
      <c r="AK311" s="23"/>
      <c r="AL311" s="23"/>
      <c r="AM311" s="23"/>
      <c r="AN311" s="23"/>
      <c r="AO311" s="23"/>
    </row>
    <row r="312" spans="37:41" s="19" customFormat="1" ht="11.25" customHeight="1" x14ac:dyDescent="0.3">
      <c r="AK312" s="23"/>
      <c r="AL312" s="23"/>
      <c r="AM312" s="23"/>
      <c r="AN312" s="23"/>
      <c r="AO312" s="23"/>
    </row>
    <row r="313" spans="37:41" s="19" customFormat="1" ht="11.25" customHeight="1" x14ac:dyDescent="0.3">
      <c r="AK313" s="23"/>
      <c r="AL313" s="23"/>
      <c r="AM313" s="23"/>
      <c r="AN313" s="23"/>
      <c r="AO313" s="23"/>
    </row>
    <row r="314" spans="37:41" s="19" customFormat="1" ht="11.25" customHeight="1" x14ac:dyDescent="0.3">
      <c r="AK314" s="23"/>
      <c r="AL314" s="23"/>
      <c r="AM314" s="23"/>
      <c r="AN314" s="23"/>
      <c r="AO314" s="23"/>
    </row>
    <row r="315" spans="37:41" s="19" customFormat="1" ht="11.25" customHeight="1" x14ac:dyDescent="0.3">
      <c r="AK315" s="23"/>
      <c r="AL315" s="23"/>
      <c r="AM315" s="23"/>
      <c r="AN315" s="23"/>
      <c r="AO315" s="23"/>
    </row>
    <row r="316" spans="37:41" s="19" customFormat="1" ht="11.25" customHeight="1" x14ac:dyDescent="0.3">
      <c r="AK316" s="23"/>
      <c r="AL316" s="23"/>
      <c r="AM316" s="23"/>
      <c r="AN316" s="23"/>
      <c r="AO316" s="23"/>
    </row>
    <row r="317" spans="37:41" s="19" customFormat="1" ht="11.25" customHeight="1" x14ac:dyDescent="0.3">
      <c r="AK317" s="23"/>
      <c r="AL317" s="23"/>
      <c r="AM317" s="23"/>
      <c r="AN317" s="23"/>
      <c r="AO317" s="23"/>
    </row>
    <row r="318" spans="37:41" s="19" customFormat="1" ht="11.25" customHeight="1" x14ac:dyDescent="0.3">
      <c r="AK318" s="23"/>
      <c r="AL318" s="23"/>
      <c r="AM318" s="23"/>
      <c r="AN318" s="23"/>
      <c r="AO318" s="23"/>
    </row>
    <row r="319" spans="37:41" s="19" customFormat="1" ht="11.25" customHeight="1" x14ac:dyDescent="0.3">
      <c r="AK319" s="23"/>
      <c r="AL319" s="23"/>
      <c r="AM319" s="23"/>
      <c r="AN319" s="23"/>
      <c r="AO319" s="23"/>
    </row>
    <row r="320" spans="37:41" s="19" customFormat="1" ht="11.25" customHeight="1" x14ac:dyDescent="0.3">
      <c r="AK320" s="23"/>
      <c r="AL320" s="23"/>
      <c r="AM320" s="23"/>
      <c r="AN320" s="23"/>
      <c r="AO320" s="23"/>
    </row>
    <row r="321" spans="37:41" s="19" customFormat="1" ht="11.25" customHeight="1" x14ac:dyDescent="0.3">
      <c r="AK321" s="23"/>
      <c r="AL321" s="23"/>
      <c r="AM321" s="23"/>
      <c r="AN321" s="23"/>
      <c r="AO321" s="23"/>
    </row>
    <row r="322" spans="37:41" s="19" customFormat="1" ht="11.25" customHeight="1" x14ac:dyDescent="0.3">
      <c r="AK322" s="23"/>
      <c r="AL322" s="23"/>
      <c r="AM322" s="23"/>
      <c r="AN322" s="23"/>
      <c r="AO322" s="23"/>
    </row>
    <row r="323" spans="37:41" s="19" customFormat="1" ht="11.25" customHeight="1" x14ac:dyDescent="0.3">
      <c r="AK323" s="23"/>
      <c r="AL323" s="23"/>
      <c r="AM323" s="23"/>
      <c r="AN323" s="23"/>
      <c r="AO323" s="23"/>
    </row>
    <row r="324" spans="37:41" s="19" customFormat="1" ht="11.25" customHeight="1" x14ac:dyDescent="0.3">
      <c r="AK324" s="23"/>
      <c r="AL324" s="23"/>
      <c r="AM324" s="23"/>
      <c r="AN324" s="23"/>
      <c r="AO324" s="23"/>
    </row>
    <row r="325" spans="37:41" s="19" customFormat="1" ht="11.25" customHeight="1" x14ac:dyDescent="0.3">
      <c r="AK325" s="23"/>
      <c r="AL325" s="23"/>
      <c r="AM325" s="23"/>
      <c r="AN325" s="23"/>
      <c r="AO325" s="23"/>
    </row>
    <row r="326" spans="37:41" s="19" customFormat="1" ht="11.25" customHeight="1" x14ac:dyDescent="0.3">
      <c r="AK326" s="23"/>
      <c r="AL326" s="23"/>
      <c r="AM326" s="23"/>
      <c r="AN326" s="23"/>
      <c r="AO326" s="23"/>
    </row>
    <row r="327" spans="37:41" s="19" customFormat="1" ht="11.25" customHeight="1" x14ac:dyDescent="0.3">
      <c r="AK327" s="23"/>
      <c r="AL327" s="23"/>
      <c r="AM327" s="23"/>
      <c r="AN327" s="23"/>
      <c r="AO327" s="23"/>
    </row>
    <row r="328" spans="37:41" s="19" customFormat="1" ht="11.25" customHeight="1" x14ac:dyDescent="0.3">
      <c r="AK328" s="23"/>
      <c r="AL328" s="23"/>
      <c r="AM328" s="23"/>
      <c r="AN328" s="23"/>
      <c r="AO328" s="23"/>
    </row>
    <row r="329" spans="37:41" s="19" customFormat="1" ht="11.25" customHeight="1" x14ac:dyDescent="0.3">
      <c r="AK329" s="23"/>
      <c r="AL329" s="23"/>
      <c r="AM329" s="23"/>
      <c r="AN329" s="23"/>
      <c r="AO329" s="23"/>
    </row>
    <row r="330" spans="37:41" s="19" customFormat="1" ht="11.25" customHeight="1" x14ac:dyDescent="0.3">
      <c r="AK330" s="23"/>
      <c r="AL330" s="23"/>
      <c r="AM330" s="23"/>
      <c r="AN330" s="23"/>
      <c r="AO330" s="23"/>
    </row>
    <row r="331" spans="37:41" s="19" customFormat="1" ht="11.25" customHeight="1" x14ac:dyDescent="0.3">
      <c r="AK331" s="23"/>
      <c r="AL331" s="23"/>
      <c r="AM331" s="23"/>
      <c r="AN331" s="23"/>
      <c r="AO331" s="23"/>
    </row>
    <row r="332" spans="37:41" s="19" customFormat="1" ht="11.25" customHeight="1" x14ac:dyDescent="0.3">
      <c r="AK332" s="23"/>
      <c r="AL332" s="23"/>
      <c r="AM332" s="23"/>
      <c r="AN332" s="23"/>
      <c r="AO332" s="23"/>
    </row>
    <row r="333" spans="37:41" s="19" customFormat="1" ht="11.25" customHeight="1" x14ac:dyDescent="0.3">
      <c r="AK333" s="23"/>
      <c r="AL333" s="23"/>
      <c r="AM333" s="23"/>
      <c r="AN333" s="23"/>
      <c r="AO333" s="23"/>
    </row>
    <row r="334" spans="37:41" s="19" customFormat="1" ht="11.25" customHeight="1" x14ac:dyDescent="0.3">
      <c r="AK334" s="23"/>
      <c r="AL334" s="23"/>
      <c r="AM334" s="23"/>
      <c r="AN334" s="23"/>
      <c r="AO334" s="23"/>
    </row>
    <row r="335" spans="37:41" s="19" customFormat="1" ht="11.25" customHeight="1" x14ac:dyDescent="0.3">
      <c r="AK335" s="23"/>
      <c r="AL335" s="23"/>
      <c r="AM335" s="23"/>
      <c r="AN335" s="23"/>
      <c r="AO335" s="23"/>
    </row>
    <row r="336" spans="37:41" s="19" customFormat="1" ht="11.25" customHeight="1" x14ac:dyDescent="0.3">
      <c r="AK336" s="23"/>
      <c r="AL336" s="23"/>
      <c r="AM336" s="23"/>
      <c r="AN336" s="23"/>
      <c r="AO336" s="23"/>
    </row>
    <row r="337" spans="37:41" s="19" customFormat="1" ht="11.25" customHeight="1" x14ac:dyDescent="0.3">
      <c r="AK337" s="23"/>
      <c r="AL337" s="23"/>
      <c r="AM337" s="23"/>
      <c r="AN337" s="23"/>
      <c r="AO337" s="23"/>
    </row>
    <row r="338" spans="37:41" s="19" customFormat="1" ht="11.25" customHeight="1" x14ac:dyDescent="0.3">
      <c r="AK338" s="23"/>
      <c r="AL338" s="23"/>
      <c r="AM338" s="23"/>
      <c r="AN338" s="23"/>
      <c r="AO338" s="23"/>
    </row>
    <row r="339" spans="37:41" s="19" customFormat="1" ht="11.25" customHeight="1" x14ac:dyDescent="0.3">
      <c r="AK339" s="23"/>
      <c r="AL339" s="23"/>
      <c r="AM339" s="23"/>
      <c r="AN339" s="23"/>
      <c r="AO339" s="23"/>
    </row>
    <row r="340" spans="37:41" s="19" customFormat="1" ht="11.25" customHeight="1" x14ac:dyDescent="0.3">
      <c r="AK340" s="23"/>
      <c r="AL340" s="23"/>
      <c r="AM340" s="23"/>
      <c r="AN340" s="23"/>
      <c r="AO340" s="23"/>
    </row>
    <row r="341" spans="37:41" s="19" customFormat="1" ht="11.25" customHeight="1" x14ac:dyDescent="0.3">
      <c r="AK341" s="23"/>
      <c r="AL341" s="23"/>
      <c r="AM341" s="23"/>
      <c r="AN341" s="23"/>
      <c r="AO341" s="23"/>
    </row>
    <row r="342" spans="37:41" s="19" customFormat="1" ht="11.25" customHeight="1" x14ac:dyDescent="0.3">
      <c r="AK342" s="23"/>
      <c r="AL342" s="23"/>
      <c r="AM342" s="23"/>
      <c r="AN342" s="23"/>
      <c r="AO342" s="23"/>
    </row>
    <row r="343" spans="37:41" s="19" customFormat="1" ht="11.25" customHeight="1" x14ac:dyDescent="0.3">
      <c r="AK343" s="23"/>
      <c r="AL343" s="23"/>
      <c r="AM343" s="23"/>
      <c r="AN343" s="23"/>
      <c r="AO343" s="23"/>
    </row>
    <row r="344" spans="37:41" s="19" customFormat="1" ht="11.25" customHeight="1" x14ac:dyDescent="0.3">
      <c r="AK344" s="23"/>
      <c r="AL344" s="23"/>
      <c r="AM344" s="23"/>
      <c r="AN344" s="23"/>
      <c r="AO344" s="23"/>
    </row>
    <row r="345" spans="37:41" s="19" customFormat="1" ht="11.25" customHeight="1" x14ac:dyDescent="0.3">
      <c r="AK345" s="23"/>
      <c r="AL345" s="23"/>
      <c r="AM345" s="23"/>
      <c r="AN345" s="23"/>
      <c r="AO345" s="23"/>
    </row>
    <row r="346" spans="37:41" s="19" customFormat="1" ht="11.25" customHeight="1" x14ac:dyDescent="0.3">
      <c r="AK346" s="23"/>
      <c r="AL346" s="23"/>
      <c r="AM346" s="23"/>
      <c r="AN346" s="23"/>
      <c r="AO346" s="23"/>
    </row>
    <row r="347" spans="37:41" s="19" customFormat="1" ht="11.25" customHeight="1" x14ac:dyDescent="0.3">
      <c r="AK347" s="23"/>
      <c r="AL347" s="23"/>
      <c r="AM347" s="23"/>
      <c r="AN347" s="23"/>
      <c r="AO347" s="23"/>
    </row>
    <row r="348" spans="37:41" s="19" customFormat="1" ht="11.25" customHeight="1" x14ac:dyDescent="0.3">
      <c r="AK348" s="23"/>
      <c r="AL348" s="23"/>
      <c r="AM348" s="23"/>
      <c r="AN348" s="23"/>
      <c r="AO348" s="23"/>
    </row>
    <row r="349" spans="37:41" s="19" customFormat="1" ht="11.25" customHeight="1" x14ac:dyDescent="0.3">
      <c r="AK349" s="23"/>
      <c r="AL349" s="23"/>
      <c r="AM349" s="23"/>
      <c r="AN349" s="23"/>
      <c r="AO349" s="23"/>
    </row>
    <row r="350" spans="37:41" s="19" customFormat="1" ht="11.25" customHeight="1" x14ac:dyDescent="0.3">
      <c r="AK350" s="23"/>
      <c r="AL350" s="23"/>
      <c r="AM350" s="23"/>
      <c r="AN350" s="23"/>
      <c r="AO350" s="23"/>
    </row>
    <row r="351" spans="37:41" s="19" customFormat="1" ht="11.25" customHeight="1" x14ac:dyDescent="0.3">
      <c r="AK351" s="23"/>
      <c r="AL351" s="23"/>
      <c r="AM351" s="23"/>
      <c r="AN351" s="23"/>
      <c r="AO351" s="23"/>
    </row>
    <row r="352" spans="37:41" s="19" customFormat="1" ht="11.25" customHeight="1" x14ac:dyDescent="0.3">
      <c r="AK352" s="23"/>
      <c r="AL352" s="23"/>
      <c r="AM352" s="23"/>
      <c r="AN352" s="23"/>
      <c r="AO352" s="23"/>
    </row>
    <row r="353" spans="37:41" s="19" customFormat="1" ht="11.25" customHeight="1" x14ac:dyDescent="0.3">
      <c r="AK353" s="23"/>
      <c r="AL353" s="23"/>
      <c r="AM353" s="23"/>
      <c r="AN353" s="23"/>
      <c r="AO353" s="23"/>
    </row>
    <row r="354" spans="37:41" s="19" customFormat="1" ht="11.25" customHeight="1" x14ac:dyDescent="0.3">
      <c r="AK354" s="23"/>
      <c r="AL354" s="23"/>
      <c r="AM354" s="23"/>
      <c r="AN354" s="23"/>
      <c r="AO354" s="23"/>
    </row>
    <row r="355" spans="37:41" s="19" customFormat="1" ht="11.25" customHeight="1" x14ac:dyDescent="0.3">
      <c r="AK355" s="23"/>
      <c r="AL355" s="23"/>
      <c r="AM355" s="23"/>
      <c r="AN355" s="23"/>
      <c r="AO355" s="23"/>
    </row>
    <row r="356" spans="37:41" s="19" customFormat="1" ht="11.25" customHeight="1" x14ac:dyDescent="0.3">
      <c r="AK356" s="23"/>
      <c r="AL356" s="23"/>
      <c r="AM356" s="23"/>
      <c r="AN356" s="23"/>
      <c r="AO356" s="23"/>
    </row>
    <row r="357" spans="37:41" s="19" customFormat="1" ht="11.25" customHeight="1" x14ac:dyDescent="0.3">
      <c r="AK357" s="23"/>
      <c r="AL357" s="23"/>
      <c r="AM357" s="23"/>
      <c r="AN357" s="23"/>
      <c r="AO357" s="23"/>
    </row>
    <row r="358" spans="37:41" s="19" customFormat="1" ht="11.25" customHeight="1" x14ac:dyDescent="0.3">
      <c r="AK358" s="23"/>
      <c r="AL358" s="23"/>
      <c r="AM358" s="23"/>
      <c r="AN358" s="23"/>
      <c r="AO358" s="23"/>
    </row>
    <row r="359" spans="37:41" s="19" customFormat="1" ht="11.25" customHeight="1" x14ac:dyDescent="0.3">
      <c r="AK359" s="23"/>
      <c r="AL359" s="23"/>
      <c r="AM359" s="23"/>
      <c r="AN359" s="23"/>
      <c r="AO359" s="23"/>
    </row>
    <row r="360" spans="37:41" s="19" customFormat="1" ht="11.25" customHeight="1" x14ac:dyDescent="0.3">
      <c r="AK360" s="23"/>
      <c r="AL360" s="23"/>
      <c r="AM360" s="23"/>
      <c r="AN360" s="23"/>
      <c r="AO360" s="23"/>
    </row>
    <row r="361" spans="37:41" s="19" customFormat="1" ht="11.25" customHeight="1" x14ac:dyDescent="0.3">
      <c r="AK361" s="23"/>
      <c r="AL361" s="23"/>
      <c r="AM361" s="23"/>
      <c r="AN361" s="23"/>
      <c r="AO361" s="23"/>
    </row>
    <row r="362" spans="37:41" s="19" customFormat="1" ht="11.25" customHeight="1" x14ac:dyDescent="0.3">
      <c r="AK362" s="23"/>
      <c r="AL362" s="23"/>
      <c r="AM362" s="23"/>
      <c r="AN362" s="23"/>
      <c r="AO362" s="23"/>
    </row>
    <row r="363" spans="37:41" s="19" customFormat="1" ht="11.25" customHeight="1" x14ac:dyDescent="0.3">
      <c r="AK363" s="23"/>
      <c r="AL363" s="23"/>
      <c r="AM363" s="23"/>
      <c r="AN363" s="23"/>
      <c r="AO363" s="23"/>
    </row>
    <row r="364" spans="37:41" s="19" customFormat="1" ht="11.25" customHeight="1" x14ac:dyDescent="0.3">
      <c r="AK364" s="23"/>
      <c r="AL364" s="23"/>
      <c r="AM364" s="23"/>
      <c r="AN364" s="23"/>
      <c r="AO364" s="23"/>
    </row>
    <row r="365" spans="37:41" s="19" customFormat="1" ht="11.25" customHeight="1" x14ac:dyDescent="0.3">
      <c r="AK365" s="23"/>
      <c r="AL365" s="23"/>
      <c r="AM365" s="23"/>
      <c r="AN365" s="23"/>
      <c r="AO365" s="23"/>
    </row>
    <row r="366" spans="37:41" s="19" customFormat="1" ht="11.25" customHeight="1" x14ac:dyDescent="0.3">
      <c r="AK366" s="23"/>
      <c r="AL366" s="23"/>
      <c r="AM366" s="23"/>
      <c r="AN366" s="23"/>
      <c r="AO366" s="23"/>
    </row>
    <row r="367" spans="37:41" s="19" customFormat="1" ht="11.25" customHeight="1" x14ac:dyDescent="0.3">
      <c r="AK367" s="23"/>
      <c r="AL367" s="23"/>
      <c r="AM367" s="23"/>
      <c r="AN367" s="23"/>
      <c r="AO367" s="23"/>
    </row>
    <row r="368" spans="37:41" s="19" customFormat="1" ht="11.25" customHeight="1" x14ac:dyDescent="0.3">
      <c r="AK368" s="23"/>
      <c r="AL368" s="23"/>
      <c r="AM368" s="23"/>
      <c r="AN368" s="23"/>
      <c r="AO368" s="23"/>
    </row>
    <row r="369" spans="37:41" s="19" customFormat="1" ht="11.25" customHeight="1" x14ac:dyDescent="0.3">
      <c r="AK369" s="23"/>
      <c r="AL369" s="23"/>
      <c r="AM369" s="23"/>
      <c r="AN369" s="23"/>
      <c r="AO369" s="23"/>
    </row>
    <row r="370" spans="37:41" s="19" customFormat="1" ht="11.25" customHeight="1" x14ac:dyDescent="0.3">
      <c r="AK370" s="23"/>
      <c r="AL370" s="23"/>
      <c r="AM370" s="23"/>
      <c r="AN370" s="23"/>
      <c r="AO370" s="23"/>
    </row>
    <row r="371" spans="37:41" s="19" customFormat="1" ht="11.25" customHeight="1" x14ac:dyDescent="0.3">
      <c r="AK371" s="23"/>
      <c r="AL371" s="23"/>
      <c r="AM371" s="23"/>
      <c r="AN371" s="23"/>
      <c r="AO371" s="23"/>
    </row>
    <row r="372" spans="37:41" s="19" customFormat="1" ht="11.25" customHeight="1" x14ac:dyDescent="0.3">
      <c r="AK372" s="23"/>
      <c r="AL372" s="23"/>
      <c r="AM372" s="23"/>
      <c r="AN372" s="23"/>
      <c r="AO372" s="23"/>
    </row>
    <row r="373" spans="37:41" s="19" customFormat="1" ht="11.25" customHeight="1" x14ac:dyDescent="0.3">
      <c r="AK373" s="23"/>
      <c r="AL373" s="23"/>
      <c r="AM373" s="23"/>
      <c r="AN373" s="23"/>
      <c r="AO373" s="23"/>
    </row>
    <row r="374" spans="37:41" s="19" customFormat="1" ht="11.25" customHeight="1" x14ac:dyDescent="0.3">
      <c r="AK374" s="23"/>
      <c r="AL374" s="23"/>
      <c r="AM374" s="23"/>
      <c r="AN374" s="23"/>
      <c r="AO374" s="23"/>
    </row>
    <row r="375" spans="37:41" s="19" customFormat="1" ht="11.25" customHeight="1" x14ac:dyDescent="0.3">
      <c r="AK375" s="23"/>
      <c r="AL375" s="23"/>
      <c r="AM375" s="23"/>
      <c r="AN375" s="23"/>
      <c r="AO375" s="23"/>
    </row>
    <row r="376" spans="37:41" s="19" customFormat="1" ht="11.25" customHeight="1" x14ac:dyDescent="0.3">
      <c r="AK376" s="23"/>
      <c r="AL376" s="23"/>
      <c r="AM376" s="23"/>
      <c r="AN376" s="23"/>
      <c r="AO376" s="23"/>
    </row>
    <row r="377" spans="37:41" s="19" customFormat="1" ht="11.25" customHeight="1" x14ac:dyDescent="0.3">
      <c r="AK377" s="23"/>
      <c r="AL377" s="23"/>
      <c r="AM377" s="23"/>
      <c r="AN377" s="23"/>
      <c r="AO377" s="23"/>
    </row>
    <row r="378" spans="37:41" s="19" customFormat="1" ht="11.25" customHeight="1" x14ac:dyDescent="0.3">
      <c r="AK378" s="23"/>
      <c r="AL378" s="23"/>
      <c r="AM378" s="23"/>
      <c r="AN378" s="23"/>
      <c r="AO378" s="23"/>
    </row>
    <row r="379" spans="37:41" s="19" customFormat="1" ht="11.25" customHeight="1" x14ac:dyDescent="0.3">
      <c r="AK379" s="23"/>
      <c r="AL379" s="23"/>
      <c r="AM379" s="23"/>
      <c r="AN379" s="23"/>
      <c r="AO379" s="23"/>
    </row>
    <row r="380" spans="37:41" s="19" customFormat="1" ht="11.25" customHeight="1" x14ac:dyDescent="0.3">
      <c r="AK380" s="23"/>
      <c r="AL380" s="23"/>
      <c r="AM380" s="23"/>
      <c r="AN380" s="23"/>
      <c r="AO380" s="23"/>
    </row>
    <row r="381" spans="37:41" s="19" customFormat="1" ht="11.25" customHeight="1" x14ac:dyDescent="0.3">
      <c r="AK381" s="23"/>
      <c r="AL381" s="23"/>
      <c r="AM381" s="23"/>
      <c r="AN381" s="23"/>
      <c r="AO381" s="23"/>
    </row>
    <row r="382" spans="37:41" s="19" customFormat="1" ht="11.25" customHeight="1" x14ac:dyDescent="0.3">
      <c r="AK382" s="23"/>
      <c r="AL382" s="23"/>
      <c r="AM382" s="23"/>
      <c r="AN382" s="23"/>
      <c r="AO382" s="23"/>
    </row>
    <row r="383" spans="37:41" s="19" customFormat="1" ht="11.25" customHeight="1" x14ac:dyDescent="0.3">
      <c r="AK383" s="23"/>
      <c r="AL383" s="23"/>
      <c r="AM383" s="23"/>
      <c r="AN383" s="23"/>
      <c r="AO383" s="23"/>
    </row>
    <row r="384" spans="37:41" s="19" customFormat="1" ht="11.25" customHeight="1" x14ac:dyDescent="0.3">
      <c r="AK384" s="23"/>
      <c r="AL384" s="23"/>
      <c r="AM384" s="23"/>
      <c r="AN384" s="23"/>
      <c r="AO384" s="23"/>
    </row>
    <row r="385" spans="37:41" s="19" customFormat="1" ht="11.25" customHeight="1" x14ac:dyDescent="0.3">
      <c r="AK385" s="23"/>
      <c r="AL385" s="23"/>
      <c r="AM385" s="23"/>
      <c r="AN385" s="23"/>
      <c r="AO385" s="23"/>
    </row>
    <row r="386" spans="37:41" s="19" customFormat="1" ht="11.25" customHeight="1" x14ac:dyDescent="0.3">
      <c r="AK386" s="23"/>
      <c r="AL386" s="23"/>
      <c r="AM386" s="23"/>
      <c r="AN386" s="23"/>
      <c r="AO386" s="23"/>
    </row>
    <row r="387" spans="37:41" s="19" customFormat="1" ht="11.25" customHeight="1" x14ac:dyDescent="0.3">
      <c r="AK387" s="23"/>
      <c r="AL387" s="23"/>
      <c r="AM387" s="23"/>
      <c r="AN387" s="23"/>
      <c r="AO387" s="23"/>
    </row>
    <row r="388" spans="37:41" s="19" customFormat="1" ht="11.25" customHeight="1" x14ac:dyDescent="0.3">
      <c r="AK388" s="23"/>
      <c r="AL388" s="23"/>
      <c r="AM388" s="23"/>
      <c r="AN388" s="23"/>
      <c r="AO388" s="23"/>
    </row>
    <row r="389" spans="37:41" s="19" customFormat="1" ht="11.25" customHeight="1" x14ac:dyDescent="0.3">
      <c r="AK389" s="23"/>
      <c r="AL389" s="23"/>
      <c r="AM389" s="23"/>
      <c r="AN389" s="23"/>
      <c r="AO389" s="23"/>
    </row>
    <row r="390" spans="37:41" s="19" customFormat="1" ht="11.25" customHeight="1" x14ac:dyDescent="0.3">
      <c r="AK390" s="23"/>
      <c r="AL390" s="23"/>
      <c r="AM390" s="23"/>
      <c r="AN390" s="23"/>
      <c r="AO390" s="23"/>
    </row>
    <row r="391" spans="37:41" s="19" customFormat="1" ht="11.25" customHeight="1" x14ac:dyDescent="0.3">
      <c r="AK391" s="23"/>
      <c r="AL391" s="23"/>
      <c r="AM391" s="23"/>
      <c r="AN391" s="23"/>
      <c r="AO391" s="23"/>
    </row>
    <row r="392" spans="37:41" s="19" customFormat="1" ht="11.25" customHeight="1" x14ac:dyDescent="0.3">
      <c r="AK392" s="23"/>
      <c r="AL392" s="23"/>
      <c r="AM392" s="23"/>
      <c r="AN392" s="23"/>
      <c r="AO392" s="23"/>
    </row>
    <row r="393" spans="37:41" s="19" customFormat="1" ht="11.25" customHeight="1" x14ac:dyDescent="0.3">
      <c r="AK393" s="23"/>
      <c r="AL393" s="23"/>
      <c r="AM393" s="23"/>
      <c r="AN393" s="23"/>
      <c r="AO393" s="23"/>
    </row>
    <row r="394" spans="37:41" s="19" customFormat="1" ht="11.25" customHeight="1" x14ac:dyDescent="0.3">
      <c r="AK394" s="23"/>
      <c r="AL394" s="23"/>
      <c r="AM394" s="23"/>
      <c r="AN394" s="23"/>
      <c r="AO394" s="23"/>
    </row>
    <row r="395" spans="37:41" s="19" customFormat="1" ht="11.25" customHeight="1" x14ac:dyDescent="0.3">
      <c r="AK395" s="23"/>
      <c r="AL395" s="23"/>
      <c r="AM395" s="23"/>
      <c r="AN395" s="23"/>
      <c r="AO395" s="23"/>
    </row>
    <row r="396" spans="37:41" s="19" customFormat="1" ht="11.25" customHeight="1" x14ac:dyDescent="0.3">
      <c r="AK396" s="23"/>
      <c r="AL396" s="23"/>
      <c r="AM396" s="23"/>
      <c r="AN396" s="23"/>
      <c r="AO396" s="23"/>
    </row>
    <row r="397" spans="37:41" s="19" customFormat="1" ht="11.25" customHeight="1" x14ac:dyDescent="0.3">
      <c r="AK397" s="23"/>
      <c r="AL397" s="23"/>
      <c r="AM397" s="23"/>
      <c r="AN397" s="23"/>
      <c r="AO397" s="23"/>
    </row>
    <row r="398" spans="37:41" s="19" customFormat="1" ht="11.25" customHeight="1" x14ac:dyDescent="0.3">
      <c r="AK398" s="23"/>
      <c r="AL398" s="23"/>
      <c r="AM398" s="23"/>
      <c r="AN398" s="23"/>
      <c r="AO398" s="23"/>
    </row>
    <row r="399" spans="37:41" s="19" customFormat="1" ht="11.25" customHeight="1" x14ac:dyDescent="0.3">
      <c r="AK399" s="23"/>
      <c r="AL399" s="23"/>
      <c r="AM399" s="23"/>
      <c r="AN399" s="23"/>
      <c r="AO399" s="23"/>
    </row>
    <row r="400" spans="37:41" s="19" customFormat="1" ht="11.25" customHeight="1" x14ac:dyDescent="0.3">
      <c r="AK400" s="23"/>
      <c r="AL400" s="23"/>
      <c r="AM400" s="23"/>
      <c r="AN400" s="23"/>
      <c r="AO400" s="23"/>
    </row>
    <row r="401" spans="37:41" s="19" customFormat="1" ht="11.25" customHeight="1" x14ac:dyDescent="0.3">
      <c r="AK401" s="23"/>
      <c r="AL401" s="23"/>
      <c r="AM401" s="23"/>
      <c r="AN401" s="23"/>
      <c r="AO401" s="23"/>
    </row>
    <row r="402" spans="37:41" s="19" customFormat="1" ht="11.25" customHeight="1" x14ac:dyDescent="0.3">
      <c r="AK402" s="23"/>
      <c r="AL402" s="23"/>
      <c r="AM402" s="23"/>
      <c r="AN402" s="23"/>
      <c r="AO402" s="23"/>
    </row>
    <row r="403" spans="37:41" s="19" customFormat="1" ht="11.25" customHeight="1" x14ac:dyDescent="0.3">
      <c r="AK403" s="23"/>
      <c r="AL403" s="23"/>
      <c r="AM403" s="23"/>
      <c r="AN403" s="23"/>
      <c r="AO403" s="23"/>
    </row>
    <row r="404" spans="37:41" s="19" customFormat="1" ht="11.25" customHeight="1" x14ac:dyDescent="0.3">
      <c r="AK404" s="23"/>
      <c r="AL404" s="23"/>
      <c r="AM404" s="23"/>
      <c r="AN404" s="23"/>
      <c r="AO404" s="23"/>
    </row>
    <row r="405" spans="37:41" s="19" customFormat="1" ht="11.25" customHeight="1" x14ac:dyDescent="0.3">
      <c r="AK405" s="23"/>
      <c r="AL405" s="23"/>
      <c r="AM405" s="23"/>
      <c r="AN405" s="23"/>
      <c r="AO405" s="23"/>
    </row>
    <row r="406" spans="37:41" s="19" customFormat="1" ht="11.25" customHeight="1" x14ac:dyDescent="0.3">
      <c r="AK406" s="23"/>
      <c r="AL406" s="23"/>
      <c r="AM406" s="23"/>
      <c r="AN406" s="23"/>
      <c r="AO406" s="23"/>
    </row>
    <row r="407" spans="37:41" s="19" customFormat="1" ht="11.25" customHeight="1" x14ac:dyDescent="0.3">
      <c r="AK407" s="23"/>
      <c r="AL407" s="23"/>
      <c r="AM407" s="23"/>
      <c r="AN407" s="23"/>
      <c r="AO407" s="23"/>
    </row>
    <row r="408" spans="37:41" s="19" customFormat="1" ht="11.25" customHeight="1" x14ac:dyDescent="0.3">
      <c r="AK408" s="23"/>
      <c r="AL408" s="23"/>
      <c r="AM408" s="23"/>
      <c r="AN408" s="23"/>
      <c r="AO408" s="23"/>
    </row>
    <row r="409" spans="37:41" s="19" customFormat="1" ht="11.25" customHeight="1" x14ac:dyDescent="0.3">
      <c r="AK409" s="23"/>
      <c r="AL409" s="23"/>
      <c r="AM409" s="23"/>
      <c r="AN409" s="23"/>
      <c r="AO409" s="23"/>
    </row>
    <row r="410" spans="37:41" s="19" customFormat="1" ht="11.25" customHeight="1" x14ac:dyDescent="0.3">
      <c r="AK410" s="23"/>
      <c r="AL410" s="23"/>
      <c r="AM410" s="23"/>
      <c r="AN410" s="23"/>
      <c r="AO410" s="23"/>
    </row>
    <row r="411" spans="37:41" s="19" customFormat="1" ht="11.25" customHeight="1" x14ac:dyDescent="0.3">
      <c r="AK411" s="23"/>
      <c r="AL411" s="23"/>
      <c r="AM411" s="23"/>
      <c r="AN411" s="23"/>
      <c r="AO411" s="23"/>
    </row>
    <row r="412" spans="37:41" s="19" customFormat="1" ht="11.25" customHeight="1" x14ac:dyDescent="0.3">
      <c r="AK412" s="23"/>
      <c r="AL412" s="23"/>
      <c r="AM412" s="23"/>
      <c r="AN412" s="23"/>
      <c r="AO412" s="23"/>
    </row>
    <row r="413" spans="37:41" s="19" customFormat="1" ht="11.25" customHeight="1" x14ac:dyDescent="0.3">
      <c r="AK413" s="23"/>
      <c r="AL413" s="23"/>
      <c r="AM413" s="23"/>
      <c r="AN413" s="23"/>
      <c r="AO413" s="23"/>
    </row>
    <row r="414" spans="37:41" s="19" customFormat="1" ht="11.25" customHeight="1" x14ac:dyDescent="0.3">
      <c r="AK414" s="23"/>
      <c r="AL414" s="23"/>
      <c r="AM414" s="23"/>
      <c r="AN414" s="23"/>
      <c r="AO414" s="23"/>
    </row>
    <row r="415" spans="37:41" s="19" customFormat="1" ht="11.25" customHeight="1" x14ac:dyDescent="0.3">
      <c r="AK415" s="23"/>
      <c r="AL415" s="23"/>
      <c r="AM415" s="23"/>
      <c r="AN415" s="23"/>
      <c r="AO415" s="23"/>
    </row>
    <row r="416" spans="37:41" s="19" customFormat="1" ht="11.25" customHeight="1" x14ac:dyDescent="0.3">
      <c r="AK416" s="23"/>
      <c r="AL416" s="23"/>
      <c r="AM416" s="23"/>
      <c r="AN416" s="23"/>
      <c r="AO416" s="23"/>
    </row>
    <row r="417" spans="37:41" s="19" customFormat="1" ht="11.25" customHeight="1" x14ac:dyDescent="0.3">
      <c r="AK417" s="23"/>
      <c r="AL417" s="23"/>
      <c r="AM417" s="23"/>
      <c r="AN417" s="23"/>
      <c r="AO417" s="23"/>
    </row>
    <row r="418" spans="37:41" s="19" customFormat="1" ht="11.25" customHeight="1" x14ac:dyDescent="0.3">
      <c r="AK418" s="23"/>
      <c r="AL418" s="23"/>
      <c r="AM418" s="23"/>
      <c r="AN418" s="23"/>
      <c r="AO418" s="23"/>
    </row>
    <row r="419" spans="37:41" s="19" customFormat="1" ht="11.25" customHeight="1" x14ac:dyDescent="0.3">
      <c r="AK419" s="23"/>
      <c r="AL419" s="23"/>
      <c r="AM419" s="23"/>
      <c r="AN419" s="23"/>
      <c r="AO419" s="23"/>
    </row>
    <row r="420" spans="37:41" s="19" customFormat="1" ht="11.25" customHeight="1" x14ac:dyDescent="0.3">
      <c r="AK420" s="23"/>
      <c r="AL420" s="23"/>
      <c r="AM420" s="23"/>
      <c r="AN420" s="23"/>
      <c r="AO420" s="23"/>
    </row>
    <row r="421" spans="37:41" s="19" customFormat="1" ht="11.25" customHeight="1" x14ac:dyDescent="0.3">
      <c r="AK421" s="23"/>
      <c r="AL421" s="23"/>
      <c r="AM421" s="23"/>
      <c r="AN421" s="23"/>
      <c r="AO421" s="23"/>
    </row>
    <row r="422" spans="37:41" s="19" customFormat="1" ht="11.25" customHeight="1" x14ac:dyDescent="0.3">
      <c r="AK422" s="23"/>
      <c r="AL422" s="23"/>
      <c r="AM422" s="23"/>
      <c r="AN422" s="23"/>
      <c r="AO422" s="23"/>
    </row>
    <row r="423" spans="37:41" s="19" customFormat="1" ht="11.25" customHeight="1" x14ac:dyDescent="0.3">
      <c r="AK423" s="23"/>
      <c r="AL423" s="23"/>
      <c r="AM423" s="23"/>
      <c r="AN423" s="23"/>
      <c r="AO423" s="23"/>
    </row>
    <row r="424" spans="37:41" s="19" customFormat="1" ht="11.25" customHeight="1" x14ac:dyDescent="0.3">
      <c r="AK424" s="23"/>
      <c r="AL424" s="23"/>
      <c r="AM424" s="23"/>
      <c r="AN424" s="23"/>
      <c r="AO424" s="23"/>
    </row>
    <row r="425" spans="37:41" s="19" customFormat="1" ht="11.25" customHeight="1" x14ac:dyDescent="0.3">
      <c r="AK425" s="23"/>
      <c r="AL425" s="23"/>
      <c r="AM425" s="23"/>
      <c r="AN425" s="23"/>
      <c r="AO425" s="23"/>
    </row>
    <row r="426" spans="37:41" s="19" customFormat="1" ht="11.25" customHeight="1" x14ac:dyDescent="0.3">
      <c r="AK426" s="23"/>
      <c r="AL426" s="23"/>
      <c r="AM426" s="23"/>
      <c r="AN426" s="23"/>
      <c r="AO426" s="23"/>
    </row>
    <row r="427" spans="37:41" s="19" customFormat="1" ht="11.25" customHeight="1" x14ac:dyDescent="0.3">
      <c r="AK427" s="23"/>
      <c r="AL427" s="23"/>
      <c r="AM427" s="23"/>
      <c r="AN427" s="23"/>
      <c r="AO427" s="23"/>
    </row>
    <row r="428" spans="37:41" s="19" customFormat="1" ht="11.25" customHeight="1" x14ac:dyDescent="0.3">
      <c r="AK428" s="23"/>
      <c r="AL428" s="23"/>
      <c r="AM428" s="23"/>
      <c r="AN428" s="23"/>
      <c r="AO428" s="23"/>
    </row>
    <row r="429" spans="37:41" s="19" customFormat="1" ht="11.25" customHeight="1" x14ac:dyDescent="0.3">
      <c r="AK429" s="23"/>
      <c r="AL429" s="23"/>
      <c r="AM429" s="23"/>
      <c r="AN429" s="23"/>
      <c r="AO429" s="23"/>
    </row>
    <row r="430" spans="37:41" s="19" customFormat="1" ht="11.25" customHeight="1" x14ac:dyDescent="0.3">
      <c r="AK430" s="23"/>
      <c r="AL430" s="23"/>
      <c r="AM430" s="23"/>
      <c r="AN430" s="23"/>
      <c r="AO430" s="23"/>
    </row>
    <row r="431" spans="37:41" s="19" customFormat="1" ht="11.25" customHeight="1" x14ac:dyDescent="0.3">
      <c r="AK431" s="23"/>
      <c r="AL431" s="23"/>
      <c r="AM431" s="23"/>
      <c r="AN431" s="23"/>
      <c r="AO431" s="23"/>
    </row>
    <row r="432" spans="37:41" s="19" customFormat="1" ht="11.25" customHeight="1" x14ac:dyDescent="0.3">
      <c r="AK432" s="23"/>
      <c r="AL432" s="23"/>
      <c r="AM432" s="23"/>
      <c r="AN432" s="23"/>
      <c r="AO432" s="23"/>
    </row>
    <row r="433" spans="37:41" s="19" customFormat="1" ht="11.25" customHeight="1" x14ac:dyDescent="0.3">
      <c r="AK433" s="23"/>
      <c r="AL433" s="23"/>
      <c r="AM433" s="23"/>
      <c r="AN433" s="23"/>
      <c r="AO433" s="23"/>
    </row>
    <row r="434" spans="37:41" s="19" customFormat="1" ht="11.25" customHeight="1" x14ac:dyDescent="0.3">
      <c r="AK434" s="23"/>
      <c r="AL434" s="23"/>
      <c r="AM434" s="23"/>
      <c r="AN434" s="23"/>
      <c r="AO434" s="23"/>
    </row>
    <row r="435" spans="37:41" s="19" customFormat="1" ht="11.25" customHeight="1" x14ac:dyDescent="0.3">
      <c r="AK435" s="23"/>
      <c r="AL435" s="23"/>
      <c r="AM435" s="23"/>
      <c r="AN435" s="23"/>
      <c r="AO435" s="23"/>
    </row>
    <row r="436" spans="37:41" s="19" customFormat="1" ht="11.25" customHeight="1" x14ac:dyDescent="0.3">
      <c r="AK436" s="23"/>
      <c r="AL436" s="23"/>
      <c r="AM436" s="23"/>
      <c r="AN436" s="23"/>
      <c r="AO436" s="23"/>
    </row>
    <row r="437" spans="37:41" s="19" customFormat="1" ht="11.25" customHeight="1" x14ac:dyDescent="0.3">
      <c r="AK437" s="23"/>
      <c r="AL437" s="23"/>
      <c r="AM437" s="23"/>
      <c r="AN437" s="23"/>
      <c r="AO437" s="23"/>
    </row>
    <row r="438" spans="37:41" s="19" customFormat="1" ht="11.25" customHeight="1" x14ac:dyDescent="0.3">
      <c r="AK438" s="23"/>
      <c r="AL438" s="23"/>
      <c r="AM438" s="23"/>
      <c r="AN438" s="23"/>
      <c r="AO438" s="23"/>
    </row>
    <row r="439" spans="37:41" s="19" customFormat="1" ht="11.25" customHeight="1" x14ac:dyDescent="0.3">
      <c r="AK439" s="23"/>
      <c r="AL439" s="23"/>
      <c r="AM439" s="23"/>
      <c r="AN439" s="23"/>
      <c r="AO439" s="23"/>
    </row>
    <row r="440" spans="37:41" s="19" customFormat="1" ht="11.25" customHeight="1" x14ac:dyDescent="0.3">
      <c r="AK440" s="23"/>
      <c r="AL440" s="23"/>
      <c r="AM440" s="23"/>
      <c r="AN440" s="23"/>
      <c r="AO440" s="23"/>
    </row>
    <row r="441" spans="37:41" s="19" customFormat="1" ht="11.25" customHeight="1" x14ac:dyDescent="0.3">
      <c r="AK441" s="23"/>
      <c r="AL441" s="23"/>
      <c r="AM441" s="23"/>
      <c r="AN441" s="23"/>
      <c r="AO441" s="23"/>
    </row>
    <row r="442" spans="37:41" s="19" customFormat="1" ht="11.25" customHeight="1" x14ac:dyDescent="0.3">
      <c r="AK442" s="23"/>
      <c r="AL442" s="23"/>
      <c r="AM442" s="23"/>
      <c r="AN442" s="23"/>
      <c r="AO442" s="23"/>
    </row>
    <row r="443" spans="37:41" s="19" customFormat="1" ht="11.25" customHeight="1" x14ac:dyDescent="0.3">
      <c r="AK443" s="23"/>
      <c r="AL443" s="23"/>
      <c r="AM443" s="23"/>
      <c r="AN443" s="23"/>
      <c r="AO443" s="23"/>
    </row>
    <row r="444" spans="37:41" s="19" customFormat="1" ht="11.25" customHeight="1" x14ac:dyDescent="0.3">
      <c r="AK444" s="23"/>
      <c r="AL444" s="23"/>
      <c r="AM444" s="23"/>
      <c r="AN444" s="23"/>
      <c r="AO444" s="23"/>
    </row>
    <row r="445" spans="37:41" s="19" customFormat="1" ht="11.25" customHeight="1" x14ac:dyDescent="0.3">
      <c r="AK445" s="23"/>
      <c r="AL445" s="23"/>
      <c r="AM445" s="23"/>
      <c r="AN445" s="23"/>
      <c r="AO445" s="23"/>
    </row>
    <row r="446" spans="37:41" s="19" customFormat="1" ht="11.25" customHeight="1" x14ac:dyDescent="0.3">
      <c r="AK446" s="23"/>
      <c r="AL446" s="23"/>
      <c r="AM446" s="23"/>
      <c r="AN446" s="23"/>
      <c r="AO446" s="23"/>
    </row>
    <row r="447" spans="37:41" s="19" customFormat="1" ht="11.25" customHeight="1" x14ac:dyDescent="0.3">
      <c r="AK447" s="23"/>
      <c r="AL447" s="23"/>
      <c r="AM447" s="23"/>
      <c r="AN447" s="23"/>
      <c r="AO447" s="23"/>
    </row>
    <row r="448" spans="37:41" s="19" customFormat="1" ht="11.25" customHeight="1" x14ac:dyDescent="0.3">
      <c r="AK448" s="23"/>
      <c r="AL448" s="23"/>
      <c r="AM448" s="23"/>
      <c r="AN448" s="23"/>
      <c r="AO448" s="23"/>
    </row>
    <row r="449" spans="37:41" s="19" customFormat="1" ht="11.25" customHeight="1" x14ac:dyDescent="0.3">
      <c r="AK449" s="23"/>
      <c r="AL449" s="23"/>
      <c r="AM449" s="23"/>
      <c r="AN449" s="23"/>
      <c r="AO449" s="23"/>
    </row>
    <row r="450" spans="37:41" s="19" customFormat="1" ht="11.25" customHeight="1" x14ac:dyDescent="0.3">
      <c r="AK450" s="23"/>
      <c r="AL450" s="23"/>
      <c r="AM450" s="23"/>
      <c r="AN450" s="23"/>
      <c r="AO450" s="23"/>
    </row>
    <row r="451" spans="37:41" s="19" customFormat="1" ht="11.25" customHeight="1" x14ac:dyDescent="0.3">
      <c r="AK451" s="23"/>
      <c r="AL451" s="23"/>
      <c r="AM451" s="23"/>
      <c r="AN451" s="23"/>
      <c r="AO451" s="23"/>
    </row>
    <row r="452" spans="37:41" s="19" customFormat="1" ht="11.25" customHeight="1" x14ac:dyDescent="0.3">
      <c r="AK452" s="23"/>
      <c r="AL452" s="23"/>
      <c r="AM452" s="23"/>
      <c r="AN452" s="23"/>
      <c r="AO452" s="23"/>
    </row>
    <row r="453" spans="37:41" s="19" customFormat="1" ht="11.25" customHeight="1" x14ac:dyDescent="0.3">
      <c r="AK453" s="23"/>
      <c r="AL453" s="23"/>
      <c r="AM453" s="23"/>
      <c r="AN453" s="23"/>
      <c r="AO453" s="23"/>
    </row>
    <row r="454" spans="37:41" s="19" customFormat="1" ht="11.25" customHeight="1" x14ac:dyDescent="0.3">
      <c r="AK454" s="23"/>
      <c r="AL454" s="23"/>
      <c r="AM454" s="23"/>
      <c r="AN454" s="23"/>
      <c r="AO454" s="23"/>
    </row>
    <row r="455" spans="37:41" s="19" customFormat="1" ht="11.25" customHeight="1" x14ac:dyDescent="0.3">
      <c r="AK455" s="23"/>
      <c r="AL455" s="23"/>
      <c r="AM455" s="23"/>
      <c r="AN455" s="23"/>
      <c r="AO455" s="23"/>
    </row>
    <row r="456" spans="37:41" s="19" customFormat="1" ht="11.25" customHeight="1" x14ac:dyDescent="0.3">
      <c r="AK456" s="23"/>
      <c r="AL456" s="23"/>
      <c r="AM456" s="23"/>
      <c r="AN456" s="23"/>
      <c r="AO456" s="23"/>
    </row>
    <row r="457" spans="37:41" s="19" customFormat="1" ht="11.25" customHeight="1" x14ac:dyDescent="0.3">
      <c r="AK457" s="23"/>
      <c r="AL457" s="23"/>
      <c r="AM457" s="23"/>
      <c r="AN457" s="23"/>
      <c r="AO457" s="23"/>
    </row>
    <row r="458" spans="37:41" s="19" customFormat="1" ht="11.25" customHeight="1" x14ac:dyDescent="0.3">
      <c r="AK458" s="23"/>
      <c r="AL458" s="23"/>
      <c r="AM458" s="23"/>
      <c r="AN458" s="23"/>
      <c r="AO458" s="23"/>
    </row>
    <row r="459" spans="37:41" s="19" customFormat="1" ht="11.25" customHeight="1" x14ac:dyDescent="0.3">
      <c r="AK459" s="23"/>
      <c r="AL459" s="23"/>
      <c r="AM459" s="23"/>
      <c r="AN459" s="23"/>
      <c r="AO459" s="23"/>
    </row>
    <row r="460" spans="37:41" s="19" customFormat="1" ht="11.25" customHeight="1" x14ac:dyDescent="0.3">
      <c r="AK460" s="23"/>
      <c r="AL460" s="23"/>
      <c r="AM460" s="23"/>
      <c r="AN460" s="23"/>
      <c r="AO460" s="23"/>
    </row>
    <row r="461" spans="37:41" s="19" customFormat="1" ht="11.25" customHeight="1" x14ac:dyDescent="0.3">
      <c r="AK461" s="23"/>
      <c r="AL461" s="23"/>
      <c r="AM461" s="23"/>
      <c r="AN461" s="23"/>
      <c r="AO461" s="23"/>
    </row>
    <row r="462" spans="37:41" s="19" customFormat="1" ht="11.25" customHeight="1" x14ac:dyDescent="0.3">
      <c r="AK462" s="23"/>
      <c r="AL462" s="23"/>
      <c r="AM462" s="23"/>
      <c r="AN462" s="23"/>
      <c r="AO462" s="23"/>
    </row>
    <row r="463" spans="37:41" s="19" customFormat="1" ht="11.25" customHeight="1" x14ac:dyDescent="0.3">
      <c r="AK463" s="23"/>
      <c r="AL463" s="23"/>
      <c r="AM463" s="23"/>
      <c r="AN463" s="23"/>
      <c r="AO463" s="23"/>
    </row>
    <row r="464" spans="37:41" s="19" customFormat="1" ht="11.25" customHeight="1" x14ac:dyDescent="0.3">
      <c r="AK464" s="23"/>
      <c r="AL464" s="23"/>
      <c r="AM464" s="23"/>
      <c r="AN464" s="23"/>
      <c r="AO464" s="23"/>
    </row>
    <row r="465" spans="37:41" s="19" customFormat="1" ht="11.25" customHeight="1" x14ac:dyDescent="0.3">
      <c r="AK465" s="23"/>
      <c r="AL465" s="23"/>
      <c r="AM465" s="23"/>
      <c r="AN465" s="23"/>
      <c r="AO465" s="23"/>
    </row>
    <row r="466" spans="37:41" s="19" customFormat="1" ht="11.25" customHeight="1" x14ac:dyDescent="0.3">
      <c r="AK466" s="23"/>
      <c r="AL466" s="23"/>
      <c r="AM466" s="23"/>
      <c r="AN466" s="23"/>
      <c r="AO466" s="23"/>
    </row>
    <row r="467" spans="37:41" s="19" customFormat="1" ht="11.25" customHeight="1" x14ac:dyDescent="0.3">
      <c r="AK467" s="23"/>
      <c r="AL467" s="23"/>
      <c r="AM467" s="23"/>
      <c r="AN467" s="23"/>
      <c r="AO467" s="23"/>
    </row>
    <row r="468" spans="37:41" s="19" customFormat="1" ht="11.25" customHeight="1" x14ac:dyDescent="0.3">
      <c r="AK468" s="23"/>
      <c r="AL468" s="23"/>
      <c r="AM468" s="23"/>
      <c r="AN468" s="23"/>
      <c r="AO468" s="23"/>
    </row>
    <row r="469" spans="37:41" s="19" customFormat="1" ht="11.25" customHeight="1" x14ac:dyDescent="0.3">
      <c r="AK469" s="23"/>
      <c r="AL469" s="23"/>
      <c r="AM469" s="23"/>
      <c r="AN469" s="23"/>
      <c r="AO469" s="23"/>
    </row>
    <row r="470" spans="37:41" s="19" customFormat="1" ht="11.25" customHeight="1" x14ac:dyDescent="0.3">
      <c r="AK470" s="23"/>
      <c r="AL470" s="23"/>
      <c r="AM470" s="23"/>
      <c r="AN470" s="23"/>
      <c r="AO470" s="23"/>
    </row>
    <row r="471" spans="37:41" s="19" customFormat="1" ht="11.25" customHeight="1" x14ac:dyDescent="0.3">
      <c r="AK471" s="23"/>
      <c r="AL471" s="23"/>
      <c r="AM471" s="23"/>
      <c r="AN471" s="23"/>
      <c r="AO471" s="23"/>
    </row>
    <row r="472" spans="37:41" s="19" customFormat="1" ht="11.25" customHeight="1" x14ac:dyDescent="0.3">
      <c r="AK472" s="23"/>
      <c r="AL472" s="23"/>
      <c r="AM472" s="23"/>
      <c r="AN472" s="23"/>
      <c r="AO472" s="23"/>
    </row>
    <row r="473" spans="37:41" s="19" customFormat="1" ht="11.25" customHeight="1" x14ac:dyDescent="0.3">
      <c r="AK473" s="23"/>
      <c r="AL473" s="23"/>
      <c r="AM473" s="23"/>
      <c r="AN473" s="23"/>
      <c r="AO473" s="23"/>
    </row>
    <row r="474" spans="37:41" s="19" customFormat="1" ht="11.25" customHeight="1" x14ac:dyDescent="0.3">
      <c r="AK474" s="23"/>
      <c r="AL474" s="23"/>
      <c r="AM474" s="23"/>
      <c r="AN474" s="23"/>
      <c r="AO474" s="23"/>
    </row>
    <row r="475" spans="37:41" s="19" customFormat="1" ht="11.25" customHeight="1" x14ac:dyDescent="0.3">
      <c r="AK475" s="23"/>
      <c r="AL475" s="23"/>
      <c r="AM475" s="23"/>
      <c r="AN475" s="23"/>
      <c r="AO475" s="23"/>
    </row>
    <row r="476" spans="37:41" s="19" customFormat="1" ht="11.25" customHeight="1" x14ac:dyDescent="0.3">
      <c r="AK476" s="23"/>
      <c r="AL476" s="23"/>
      <c r="AM476" s="23"/>
      <c r="AN476" s="23"/>
      <c r="AO476" s="23"/>
    </row>
    <row r="477" spans="37:41" s="19" customFormat="1" ht="11.25" customHeight="1" x14ac:dyDescent="0.3">
      <c r="AK477" s="23"/>
      <c r="AL477" s="23"/>
      <c r="AM477" s="23"/>
      <c r="AN477" s="23"/>
      <c r="AO477" s="23"/>
    </row>
    <row r="478" spans="37:41" s="19" customFormat="1" ht="11.25" customHeight="1" x14ac:dyDescent="0.3">
      <c r="AK478" s="23"/>
      <c r="AL478" s="23"/>
      <c r="AM478" s="23"/>
      <c r="AN478" s="23"/>
      <c r="AO478" s="23"/>
    </row>
    <row r="479" spans="37:41" s="19" customFormat="1" ht="11.25" customHeight="1" x14ac:dyDescent="0.3">
      <c r="AK479" s="23"/>
      <c r="AL479" s="23"/>
      <c r="AM479" s="23"/>
      <c r="AN479" s="23"/>
      <c r="AO479" s="23"/>
    </row>
    <row r="480" spans="37:41" s="19" customFormat="1" ht="11.25" customHeight="1" x14ac:dyDescent="0.3">
      <c r="AK480" s="23"/>
      <c r="AL480" s="23"/>
      <c r="AM480" s="23"/>
      <c r="AN480" s="23"/>
      <c r="AO480" s="23"/>
    </row>
    <row r="481" spans="37:41" s="19" customFormat="1" ht="11.25" customHeight="1" x14ac:dyDescent="0.3">
      <c r="AK481" s="23"/>
      <c r="AL481" s="23"/>
      <c r="AM481" s="23"/>
      <c r="AN481" s="23"/>
      <c r="AO481" s="23"/>
    </row>
    <row r="482" spans="37:41" s="19" customFormat="1" ht="11.25" customHeight="1" x14ac:dyDescent="0.3">
      <c r="AK482" s="23"/>
      <c r="AL482" s="23"/>
      <c r="AM482" s="23"/>
      <c r="AN482" s="23"/>
      <c r="AO482" s="23"/>
    </row>
    <row r="483" spans="37:41" s="19" customFormat="1" ht="11.25" customHeight="1" x14ac:dyDescent="0.3">
      <c r="AK483" s="23"/>
      <c r="AL483" s="23"/>
      <c r="AM483" s="23"/>
      <c r="AN483" s="23"/>
      <c r="AO483" s="23"/>
    </row>
    <row r="484" spans="37:41" s="19" customFormat="1" ht="11.25" customHeight="1" x14ac:dyDescent="0.3">
      <c r="AK484" s="23"/>
      <c r="AL484" s="23"/>
      <c r="AM484" s="23"/>
      <c r="AN484" s="23"/>
      <c r="AO484" s="23"/>
    </row>
    <row r="485" spans="37:41" s="19" customFormat="1" ht="11.25" customHeight="1" x14ac:dyDescent="0.3">
      <c r="AK485" s="23"/>
      <c r="AL485" s="23"/>
      <c r="AM485" s="23"/>
      <c r="AN485" s="23"/>
      <c r="AO485" s="23"/>
    </row>
    <row r="486" spans="37:41" s="19" customFormat="1" ht="11.25" customHeight="1" x14ac:dyDescent="0.3">
      <c r="AK486" s="23"/>
      <c r="AL486" s="23"/>
      <c r="AM486" s="23"/>
      <c r="AN486" s="23"/>
      <c r="AO486" s="23"/>
    </row>
    <row r="487" spans="37:41" s="19" customFormat="1" ht="11.25" customHeight="1" x14ac:dyDescent="0.3">
      <c r="AK487" s="23"/>
      <c r="AL487" s="23"/>
      <c r="AM487" s="23"/>
      <c r="AN487" s="23"/>
      <c r="AO487" s="23"/>
    </row>
    <row r="488" spans="37:41" s="19" customFormat="1" ht="11.25" customHeight="1" x14ac:dyDescent="0.3">
      <c r="AK488" s="23"/>
      <c r="AL488" s="23"/>
      <c r="AM488" s="23"/>
      <c r="AN488" s="23"/>
      <c r="AO488" s="23"/>
    </row>
    <row r="489" spans="37:41" s="19" customFormat="1" ht="11.25" customHeight="1" x14ac:dyDescent="0.3">
      <c r="AK489" s="23"/>
      <c r="AL489" s="23"/>
      <c r="AM489" s="23"/>
      <c r="AN489" s="23"/>
      <c r="AO489" s="23"/>
    </row>
    <row r="490" spans="37:41" s="19" customFormat="1" ht="11.25" customHeight="1" x14ac:dyDescent="0.3">
      <c r="AK490" s="23"/>
      <c r="AL490" s="23"/>
      <c r="AM490" s="23"/>
      <c r="AN490" s="23"/>
      <c r="AO490" s="23"/>
    </row>
    <row r="491" spans="37:41" s="19" customFormat="1" ht="11.25" customHeight="1" x14ac:dyDescent="0.3">
      <c r="AK491" s="23"/>
      <c r="AL491" s="23"/>
      <c r="AM491" s="23"/>
      <c r="AN491" s="23"/>
      <c r="AO491" s="23"/>
    </row>
    <row r="492" spans="37:41" s="19" customFormat="1" ht="11.25" customHeight="1" x14ac:dyDescent="0.3">
      <c r="AK492" s="23"/>
      <c r="AL492" s="23"/>
      <c r="AM492" s="23"/>
      <c r="AN492" s="23"/>
      <c r="AO492" s="23"/>
    </row>
    <row r="493" spans="37:41" s="19" customFormat="1" ht="11.25" customHeight="1" x14ac:dyDescent="0.3">
      <c r="AK493" s="23"/>
      <c r="AL493" s="23"/>
      <c r="AM493" s="23"/>
      <c r="AN493" s="23"/>
      <c r="AO493" s="23"/>
    </row>
    <row r="494" spans="37:41" s="19" customFormat="1" ht="11.25" customHeight="1" x14ac:dyDescent="0.3">
      <c r="AK494" s="23"/>
      <c r="AL494" s="23"/>
      <c r="AM494" s="23"/>
      <c r="AN494" s="23"/>
      <c r="AO494" s="23"/>
    </row>
    <row r="495" spans="37:41" s="19" customFormat="1" ht="11.25" customHeight="1" x14ac:dyDescent="0.3">
      <c r="AK495" s="23"/>
      <c r="AL495" s="23"/>
      <c r="AM495" s="23"/>
      <c r="AN495" s="23"/>
      <c r="AO495" s="23"/>
    </row>
    <row r="496" spans="37:41" s="19" customFormat="1" ht="11.25" customHeight="1" x14ac:dyDescent="0.3">
      <c r="AK496" s="23"/>
      <c r="AL496" s="23"/>
      <c r="AM496" s="23"/>
      <c r="AN496" s="23"/>
      <c r="AO496" s="23"/>
    </row>
    <row r="497" spans="37:41" s="19" customFormat="1" ht="11.25" customHeight="1" x14ac:dyDescent="0.3">
      <c r="AK497" s="23"/>
      <c r="AL497" s="23"/>
      <c r="AM497" s="23"/>
      <c r="AN497" s="23"/>
      <c r="AO497" s="23"/>
    </row>
    <row r="498" spans="37:41" s="19" customFormat="1" ht="11.25" customHeight="1" x14ac:dyDescent="0.3">
      <c r="AK498" s="23"/>
      <c r="AL498" s="23"/>
      <c r="AM498" s="23"/>
      <c r="AN498" s="23"/>
      <c r="AO498" s="23"/>
    </row>
    <row r="499" spans="37:41" s="19" customFormat="1" ht="11.25" customHeight="1" x14ac:dyDescent="0.3">
      <c r="AK499" s="23"/>
      <c r="AL499" s="23"/>
      <c r="AM499" s="23"/>
      <c r="AN499" s="23"/>
      <c r="AO499" s="23"/>
    </row>
    <row r="500" spans="37:41" s="19" customFormat="1" ht="11.25" customHeight="1" x14ac:dyDescent="0.3">
      <c r="AK500" s="23"/>
      <c r="AL500" s="23"/>
      <c r="AM500" s="23"/>
      <c r="AN500" s="23"/>
      <c r="AO500" s="23"/>
    </row>
    <row r="501" spans="37:41" s="19" customFormat="1" ht="11.25" customHeight="1" x14ac:dyDescent="0.3">
      <c r="AK501" s="23"/>
      <c r="AL501" s="23"/>
      <c r="AM501" s="23"/>
      <c r="AN501" s="23"/>
      <c r="AO501" s="23"/>
    </row>
    <row r="502" spans="37:41" s="19" customFormat="1" ht="11.25" customHeight="1" x14ac:dyDescent="0.3">
      <c r="AK502" s="23"/>
      <c r="AL502" s="23"/>
      <c r="AM502" s="23"/>
      <c r="AN502" s="23"/>
      <c r="AO502" s="23"/>
    </row>
    <row r="503" spans="37:41" s="19" customFormat="1" ht="11.25" customHeight="1" x14ac:dyDescent="0.3">
      <c r="AK503" s="23"/>
      <c r="AL503" s="23"/>
      <c r="AM503" s="23"/>
      <c r="AN503" s="23"/>
      <c r="AO503" s="23"/>
    </row>
    <row r="504" spans="37:41" s="19" customFormat="1" ht="11.25" customHeight="1" x14ac:dyDescent="0.3">
      <c r="AK504" s="23"/>
      <c r="AL504" s="23"/>
      <c r="AM504" s="23"/>
      <c r="AN504" s="23"/>
      <c r="AO504" s="23"/>
    </row>
    <row r="505" spans="37:41" s="19" customFormat="1" ht="11.25" customHeight="1" x14ac:dyDescent="0.3">
      <c r="AK505" s="23"/>
      <c r="AL505" s="23"/>
      <c r="AM505" s="23"/>
      <c r="AN505" s="23"/>
      <c r="AO505" s="23"/>
    </row>
    <row r="506" spans="37:41" s="19" customFormat="1" ht="11.25" customHeight="1" x14ac:dyDescent="0.3">
      <c r="AK506" s="23"/>
      <c r="AL506" s="23"/>
      <c r="AM506" s="23"/>
      <c r="AN506" s="23"/>
      <c r="AO506" s="23"/>
    </row>
    <row r="507" spans="37:41" s="19" customFormat="1" ht="11.25" customHeight="1" x14ac:dyDescent="0.3">
      <c r="AK507" s="23"/>
      <c r="AL507" s="23"/>
      <c r="AM507" s="23"/>
      <c r="AN507" s="23"/>
      <c r="AO507" s="23"/>
    </row>
    <row r="508" spans="37:41" s="19" customFormat="1" ht="11.25" customHeight="1" x14ac:dyDescent="0.3">
      <c r="AK508" s="23"/>
      <c r="AL508" s="23"/>
      <c r="AM508" s="23"/>
      <c r="AN508" s="23"/>
      <c r="AO508" s="23"/>
    </row>
    <row r="509" spans="37:41" s="19" customFormat="1" ht="11.25" customHeight="1" x14ac:dyDescent="0.3">
      <c r="AK509" s="23"/>
      <c r="AL509" s="23"/>
      <c r="AM509" s="23"/>
      <c r="AN509" s="23"/>
      <c r="AO509" s="23"/>
    </row>
    <row r="510" spans="37:41" s="19" customFormat="1" ht="11.25" customHeight="1" x14ac:dyDescent="0.3">
      <c r="AK510" s="23"/>
      <c r="AL510" s="23"/>
      <c r="AM510" s="23"/>
      <c r="AN510" s="23"/>
      <c r="AO510" s="23"/>
    </row>
    <row r="511" spans="37:41" s="19" customFormat="1" ht="11.25" customHeight="1" x14ac:dyDescent="0.3">
      <c r="AK511" s="23"/>
      <c r="AL511" s="23"/>
      <c r="AM511" s="23"/>
      <c r="AN511" s="23"/>
      <c r="AO511" s="23"/>
    </row>
    <row r="512" spans="37:41" s="19" customFormat="1" ht="11.25" customHeight="1" x14ac:dyDescent="0.3">
      <c r="AK512" s="23"/>
      <c r="AL512" s="23"/>
      <c r="AM512" s="23"/>
      <c r="AN512" s="23"/>
      <c r="AO512" s="23"/>
    </row>
    <row r="513" spans="37:41" s="19" customFormat="1" ht="11.25" customHeight="1" x14ac:dyDescent="0.3">
      <c r="AK513" s="23"/>
      <c r="AL513" s="23"/>
      <c r="AM513" s="23"/>
      <c r="AN513" s="23"/>
      <c r="AO513" s="23"/>
    </row>
    <row r="514" spans="37:41" s="19" customFormat="1" ht="11.25" customHeight="1" x14ac:dyDescent="0.3">
      <c r="AK514" s="23"/>
      <c r="AL514" s="23"/>
      <c r="AM514" s="23"/>
      <c r="AN514" s="23"/>
      <c r="AO514" s="23"/>
    </row>
    <row r="515" spans="37:41" s="19" customFormat="1" ht="11.25" customHeight="1" x14ac:dyDescent="0.3">
      <c r="AK515" s="23"/>
      <c r="AL515" s="23"/>
      <c r="AM515" s="23"/>
      <c r="AN515" s="23"/>
      <c r="AO515" s="23"/>
    </row>
    <row r="516" spans="37:41" s="19" customFormat="1" ht="11.25" customHeight="1" x14ac:dyDescent="0.3">
      <c r="AK516" s="23"/>
      <c r="AL516" s="23"/>
      <c r="AM516" s="23"/>
      <c r="AN516" s="23"/>
      <c r="AO516" s="23"/>
    </row>
    <row r="517" spans="37:41" s="19" customFormat="1" ht="11.25" customHeight="1" x14ac:dyDescent="0.3">
      <c r="AK517" s="23"/>
      <c r="AL517" s="23"/>
      <c r="AM517" s="23"/>
      <c r="AN517" s="23"/>
      <c r="AO517" s="23"/>
    </row>
    <row r="518" spans="37:41" s="19" customFormat="1" ht="11.25" customHeight="1" x14ac:dyDescent="0.3">
      <c r="AK518" s="23"/>
      <c r="AL518" s="23"/>
      <c r="AM518" s="23"/>
      <c r="AN518" s="23"/>
      <c r="AO518" s="23"/>
    </row>
    <row r="519" spans="37:41" s="19" customFormat="1" ht="11.25" customHeight="1" x14ac:dyDescent="0.3">
      <c r="AK519" s="23"/>
      <c r="AL519" s="23"/>
      <c r="AM519" s="23"/>
      <c r="AN519" s="23"/>
      <c r="AO519" s="23"/>
    </row>
    <row r="520" spans="37:41" s="19" customFormat="1" ht="11.25" customHeight="1" x14ac:dyDescent="0.3">
      <c r="AK520" s="23"/>
      <c r="AL520" s="23"/>
      <c r="AM520" s="23"/>
      <c r="AN520" s="23"/>
      <c r="AO520" s="23"/>
    </row>
    <row r="521" spans="37:41" s="19" customFormat="1" ht="11.25" customHeight="1" x14ac:dyDescent="0.3">
      <c r="AK521" s="23"/>
      <c r="AL521" s="23"/>
      <c r="AM521" s="23"/>
      <c r="AN521" s="23"/>
      <c r="AO521" s="23"/>
    </row>
    <row r="522" spans="37:41" s="19" customFormat="1" ht="11.25" customHeight="1" x14ac:dyDescent="0.3">
      <c r="AK522" s="23"/>
      <c r="AL522" s="23"/>
      <c r="AM522" s="23"/>
      <c r="AN522" s="23"/>
      <c r="AO522" s="23"/>
    </row>
    <row r="523" spans="37:41" s="19" customFormat="1" ht="11.25" customHeight="1" x14ac:dyDescent="0.3">
      <c r="AK523" s="23"/>
      <c r="AL523" s="23"/>
      <c r="AM523" s="23"/>
      <c r="AN523" s="23"/>
      <c r="AO523" s="23"/>
    </row>
    <row r="524" spans="37:41" s="19" customFormat="1" ht="11.25" customHeight="1" x14ac:dyDescent="0.3">
      <c r="AK524" s="23"/>
      <c r="AL524" s="23"/>
      <c r="AM524" s="23"/>
      <c r="AN524" s="23"/>
      <c r="AO524" s="23"/>
    </row>
    <row r="525" spans="37:41" s="19" customFormat="1" ht="11.25" customHeight="1" x14ac:dyDescent="0.3">
      <c r="AK525" s="23"/>
      <c r="AL525" s="23"/>
      <c r="AM525" s="23"/>
      <c r="AN525" s="23"/>
      <c r="AO525" s="23"/>
    </row>
    <row r="526" spans="37:41" s="19" customFormat="1" ht="11.25" customHeight="1" x14ac:dyDescent="0.3">
      <c r="AK526" s="23"/>
      <c r="AL526" s="23"/>
      <c r="AM526" s="23"/>
      <c r="AN526" s="23"/>
      <c r="AO526" s="23"/>
    </row>
    <row r="527" spans="37:41" s="19" customFormat="1" ht="11.25" customHeight="1" x14ac:dyDescent="0.3">
      <c r="AK527" s="23"/>
      <c r="AL527" s="23"/>
      <c r="AM527" s="23"/>
      <c r="AN527" s="23"/>
      <c r="AO527" s="23"/>
    </row>
    <row r="528" spans="37:41" s="19" customFormat="1" ht="11.25" customHeight="1" x14ac:dyDescent="0.3">
      <c r="AK528" s="23"/>
      <c r="AL528" s="23"/>
      <c r="AM528" s="23"/>
      <c r="AN528" s="23"/>
      <c r="AO528" s="23"/>
    </row>
    <row r="529" spans="37:41" s="19" customFormat="1" ht="11.25" customHeight="1" x14ac:dyDescent="0.3">
      <c r="AK529" s="23"/>
      <c r="AL529" s="23"/>
      <c r="AM529" s="23"/>
      <c r="AN529" s="23"/>
      <c r="AO529" s="23"/>
    </row>
    <row r="530" spans="37:41" s="19" customFormat="1" ht="11.25" customHeight="1" x14ac:dyDescent="0.3">
      <c r="AK530" s="23"/>
      <c r="AL530" s="23"/>
      <c r="AM530" s="23"/>
      <c r="AN530" s="23"/>
      <c r="AO530" s="23"/>
    </row>
    <row r="531" spans="37:41" s="19" customFormat="1" ht="11.25" customHeight="1" x14ac:dyDescent="0.3">
      <c r="AK531" s="23"/>
      <c r="AL531" s="23"/>
      <c r="AM531" s="23"/>
      <c r="AN531" s="23"/>
      <c r="AO531" s="23"/>
    </row>
    <row r="532" spans="37:41" s="19" customFormat="1" ht="11.25" customHeight="1" x14ac:dyDescent="0.3">
      <c r="AK532" s="23"/>
      <c r="AL532" s="23"/>
      <c r="AM532" s="23"/>
      <c r="AN532" s="23"/>
      <c r="AO532" s="23"/>
    </row>
    <row r="533" spans="37:41" s="19" customFormat="1" ht="11.25" customHeight="1" x14ac:dyDescent="0.3">
      <c r="AK533" s="23"/>
      <c r="AL533" s="23"/>
      <c r="AM533" s="23"/>
      <c r="AN533" s="23"/>
      <c r="AO533" s="23"/>
    </row>
    <row r="534" spans="37:41" s="19" customFormat="1" ht="11.25" customHeight="1" x14ac:dyDescent="0.3">
      <c r="AK534" s="23"/>
      <c r="AL534" s="23"/>
      <c r="AM534" s="23"/>
      <c r="AN534" s="23"/>
      <c r="AO534" s="23"/>
    </row>
    <row r="535" spans="37:41" s="19" customFormat="1" ht="11.25" customHeight="1" x14ac:dyDescent="0.3">
      <c r="AK535" s="23"/>
      <c r="AL535" s="23"/>
      <c r="AM535" s="23"/>
      <c r="AN535" s="23"/>
      <c r="AO535" s="23"/>
    </row>
    <row r="536" spans="37:41" s="19" customFormat="1" ht="11.25" customHeight="1" x14ac:dyDescent="0.3">
      <c r="AK536" s="23"/>
      <c r="AL536" s="23"/>
      <c r="AM536" s="23"/>
      <c r="AN536" s="23"/>
      <c r="AO536" s="23"/>
    </row>
    <row r="537" spans="37:41" s="19" customFormat="1" ht="11.25" customHeight="1" x14ac:dyDescent="0.3">
      <c r="AK537" s="23"/>
      <c r="AL537" s="23"/>
      <c r="AM537" s="23"/>
      <c r="AN537" s="23"/>
      <c r="AO537" s="23"/>
    </row>
    <row r="538" spans="37:41" s="19" customFormat="1" ht="11.25" customHeight="1" x14ac:dyDescent="0.3">
      <c r="AK538" s="23"/>
      <c r="AL538" s="23"/>
      <c r="AM538" s="23"/>
      <c r="AN538" s="23"/>
      <c r="AO538" s="23"/>
    </row>
    <row r="539" spans="37:41" s="19" customFormat="1" ht="11.25" customHeight="1" x14ac:dyDescent="0.3">
      <c r="AK539" s="23"/>
      <c r="AL539" s="23"/>
      <c r="AM539" s="23"/>
      <c r="AN539" s="23"/>
      <c r="AO539" s="23"/>
    </row>
    <row r="540" spans="37:41" s="19" customFormat="1" ht="11.25" customHeight="1" x14ac:dyDescent="0.3">
      <c r="AK540" s="23"/>
      <c r="AL540" s="23"/>
      <c r="AM540" s="23"/>
      <c r="AN540" s="23"/>
      <c r="AO540" s="23"/>
    </row>
    <row r="541" spans="37:41" s="19" customFormat="1" ht="11.25" customHeight="1" x14ac:dyDescent="0.3">
      <c r="AK541" s="23"/>
      <c r="AL541" s="23"/>
      <c r="AM541" s="23"/>
      <c r="AN541" s="23"/>
      <c r="AO541" s="23"/>
    </row>
    <row r="542" spans="37:41" s="19" customFormat="1" ht="11.25" customHeight="1" x14ac:dyDescent="0.3">
      <c r="AK542" s="23"/>
      <c r="AL542" s="23"/>
      <c r="AM542" s="23"/>
      <c r="AN542" s="23"/>
      <c r="AO542" s="23"/>
    </row>
    <row r="543" spans="37:41" s="19" customFormat="1" ht="11.25" customHeight="1" x14ac:dyDescent="0.3">
      <c r="AK543" s="23"/>
      <c r="AL543" s="23"/>
      <c r="AM543" s="23"/>
      <c r="AN543" s="23"/>
      <c r="AO543" s="23"/>
    </row>
    <row r="544" spans="37:41" s="19" customFormat="1" ht="11.25" customHeight="1" x14ac:dyDescent="0.3">
      <c r="AK544" s="23"/>
      <c r="AL544" s="23"/>
      <c r="AM544" s="23"/>
      <c r="AN544" s="23"/>
      <c r="AO544" s="23"/>
    </row>
    <row r="545" spans="37:41" s="19" customFormat="1" ht="11.25" customHeight="1" x14ac:dyDescent="0.3">
      <c r="AK545" s="23"/>
      <c r="AL545" s="23"/>
      <c r="AM545" s="23"/>
      <c r="AN545" s="23"/>
      <c r="AO545" s="23"/>
    </row>
    <row r="546" spans="37:41" s="19" customFormat="1" ht="11.25" customHeight="1" x14ac:dyDescent="0.3">
      <c r="AK546" s="23"/>
      <c r="AL546" s="23"/>
      <c r="AM546" s="23"/>
      <c r="AN546" s="23"/>
      <c r="AO546" s="23"/>
    </row>
    <row r="547" spans="37:41" s="19" customFormat="1" ht="11.25" customHeight="1" x14ac:dyDescent="0.3">
      <c r="AK547" s="23"/>
      <c r="AL547" s="23"/>
      <c r="AM547" s="23"/>
      <c r="AN547" s="23"/>
      <c r="AO547" s="23"/>
    </row>
    <row r="548" spans="37:41" s="19" customFormat="1" ht="11.25" customHeight="1" x14ac:dyDescent="0.3">
      <c r="AK548" s="23"/>
      <c r="AL548" s="23"/>
      <c r="AM548" s="23"/>
      <c r="AN548" s="23"/>
      <c r="AO548" s="23"/>
    </row>
    <row r="549" spans="37:41" s="19" customFormat="1" ht="11.25" customHeight="1" x14ac:dyDescent="0.3">
      <c r="AK549" s="23"/>
      <c r="AL549" s="23"/>
      <c r="AM549" s="23"/>
      <c r="AN549" s="23"/>
      <c r="AO549" s="23"/>
    </row>
    <row r="550" spans="37:41" ht="11.25" customHeight="1" x14ac:dyDescent="0.3"/>
    <row r="551" spans="37:41" ht="11.25" customHeight="1" x14ac:dyDescent="0.3"/>
    <row r="552" spans="37:41" ht="11.25" customHeight="1" x14ac:dyDescent="0.3"/>
    <row r="553" spans="37:41" ht="11.25" customHeight="1" x14ac:dyDescent="0.3"/>
    <row r="554" spans="37:41" ht="11.25" customHeight="1" x14ac:dyDescent="0.3"/>
    <row r="555" spans="37:41" ht="11.25" customHeight="1" x14ac:dyDescent="0.3"/>
    <row r="556" spans="37:41" ht="11.25" customHeight="1" x14ac:dyDescent="0.3"/>
    <row r="557" spans="37:41" ht="11.25" customHeight="1" x14ac:dyDescent="0.3"/>
    <row r="558" spans="37:41" ht="11.25" customHeight="1" x14ac:dyDescent="0.3"/>
    <row r="559" spans="37:41" ht="11.25" customHeight="1" x14ac:dyDescent="0.3"/>
    <row r="560" spans="37:41" ht="11.25" customHeight="1" x14ac:dyDescent="0.3"/>
    <row r="561" ht="11.25" customHeight="1" x14ac:dyDescent="0.3"/>
    <row r="562" ht="11.25" customHeight="1" x14ac:dyDescent="0.3"/>
    <row r="563" ht="11.25" customHeight="1" x14ac:dyDescent="0.3"/>
    <row r="564" ht="11.25" customHeight="1" x14ac:dyDescent="0.3"/>
    <row r="565" ht="11.25" customHeight="1" x14ac:dyDescent="0.3"/>
    <row r="566" ht="11.25" customHeight="1" x14ac:dyDescent="0.3"/>
    <row r="567" ht="11.25" customHeight="1" x14ac:dyDescent="0.3"/>
    <row r="568" ht="11.25" customHeight="1" x14ac:dyDescent="0.3"/>
    <row r="569" ht="11.25" customHeight="1" x14ac:dyDescent="0.3"/>
    <row r="570" ht="11.25" customHeight="1" x14ac:dyDescent="0.3"/>
    <row r="571" ht="11.25" customHeight="1" x14ac:dyDescent="0.3"/>
    <row r="572" ht="11.25" customHeight="1" x14ac:dyDescent="0.3"/>
    <row r="573" ht="11.25" customHeight="1" x14ac:dyDescent="0.3"/>
    <row r="574" ht="11.25" customHeight="1" x14ac:dyDescent="0.3"/>
    <row r="575" ht="11.25" customHeight="1" x14ac:dyDescent="0.3"/>
    <row r="576" ht="11.25" customHeight="1" x14ac:dyDescent="0.3"/>
    <row r="577" ht="11.25" customHeight="1" x14ac:dyDescent="0.3"/>
    <row r="578" ht="11.25" customHeight="1" x14ac:dyDescent="0.3"/>
    <row r="579" ht="11.25" customHeight="1" x14ac:dyDescent="0.3"/>
    <row r="580" ht="11.25" customHeight="1" x14ac:dyDescent="0.3"/>
    <row r="581" ht="11.25" customHeight="1" x14ac:dyDescent="0.3"/>
    <row r="582" ht="11.25" customHeight="1" x14ac:dyDescent="0.3"/>
    <row r="583" ht="11.25" customHeight="1" x14ac:dyDescent="0.3"/>
    <row r="584" ht="11.25" customHeight="1" x14ac:dyDescent="0.3"/>
    <row r="585" ht="11.25" customHeight="1" x14ac:dyDescent="0.3"/>
    <row r="586" ht="11.25" customHeight="1" x14ac:dyDescent="0.3"/>
    <row r="587" ht="11.25" customHeight="1" x14ac:dyDescent="0.3"/>
    <row r="588" ht="11.25" customHeight="1" x14ac:dyDescent="0.3"/>
    <row r="589" ht="11.25" customHeight="1" x14ac:dyDescent="0.3"/>
    <row r="590" ht="11.25" customHeight="1" x14ac:dyDescent="0.3"/>
    <row r="591" ht="11.25" customHeight="1" x14ac:dyDescent="0.3"/>
    <row r="592" ht="11.25" customHeight="1" x14ac:dyDescent="0.3"/>
    <row r="593" ht="11.25" customHeight="1" x14ac:dyDescent="0.3"/>
    <row r="594" ht="11.25" customHeight="1" x14ac:dyDescent="0.3"/>
    <row r="595" ht="11.25" customHeight="1" x14ac:dyDescent="0.3"/>
    <row r="596" ht="11.25" customHeight="1" x14ac:dyDescent="0.3"/>
    <row r="597" ht="11.25" customHeight="1" x14ac:dyDescent="0.3"/>
    <row r="598" ht="11.25" customHeight="1" x14ac:dyDescent="0.3"/>
    <row r="599" ht="11.25" customHeight="1" x14ac:dyDescent="0.3"/>
    <row r="600" ht="11.25" customHeight="1" x14ac:dyDescent="0.3"/>
    <row r="601" ht="11.25" customHeight="1" x14ac:dyDescent="0.3"/>
    <row r="602" ht="11.25" customHeight="1" x14ac:dyDescent="0.3"/>
    <row r="603" ht="11.25" customHeight="1" x14ac:dyDescent="0.3"/>
    <row r="604" ht="11.25" customHeight="1" x14ac:dyDescent="0.3"/>
    <row r="605" ht="11.25" customHeight="1" x14ac:dyDescent="0.3"/>
    <row r="606" ht="11.25" customHeight="1" x14ac:dyDescent="0.3"/>
    <row r="607" ht="11.25" customHeight="1" x14ac:dyDescent="0.3"/>
    <row r="608" ht="11.25" customHeight="1" x14ac:dyDescent="0.3"/>
    <row r="609" ht="11.25" customHeight="1" x14ac:dyDescent="0.3"/>
    <row r="610" ht="11.25" customHeight="1" x14ac:dyDescent="0.3"/>
    <row r="611" ht="11.25" customHeight="1" x14ac:dyDescent="0.3"/>
    <row r="612" ht="11.25" customHeight="1" x14ac:dyDescent="0.3"/>
    <row r="613" ht="11.25" customHeight="1" x14ac:dyDescent="0.3"/>
    <row r="614" ht="11.25" customHeight="1" x14ac:dyDescent="0.3"/>
    <row r="615" ht="11.25" customHeight="1" x14ac:dyDescent="0.3"/>
    <row r="616" ht="11.25" customHeight="1" x14ac:dyDescent="0.3"/>
    <row r="617" ht="11.25" customHeight="1" x14ac:dyDescent="0.3"/>
    <row r="618" ht="11.25" customHeight="1" x14ac:dyDescent="0.3"/>
    <row r="619" ht="11.25" customHeight="1" x14ac:dyDescent="0.3"/>
    <row r="620" ht="11.25" customHeight="1" x14ac:dyDescent="0.3"/>
    <row r="621" ht="11.25" customHeight="1" x14ac:dyDescent="0.3"/>
    <row r="622" ht="11.25" customHeight="1" x14ac:dyDescent="0.3"/>
    <row r="623" ht="11.25" customHeight="1" x14ac:dyDescent="0.3"/>
    <row r="624" ht="11.25" customHeight="1" x14ac:dyDescent="0.3"/>
    <row r="625" ht="11.25" customHeight="1" x14ac:dyDescent="0.3"/>
    <row r="626" ht="11.25" customHeight="1" x14ac:dyDescent="0.3"/>
    <row r="627" ht="11.25" customHeight="1" x14ac:dyDescent="0.3"/>
    <row r="628" ht="11.25" customHeight="1" x14ac:dyDescent="0.3"/>
    <row r="629" ht="11.25" customHeight="1" x14ac:dyDescent="0.3"/>
    <row r="630" ht="11.25" customHeight="1" x14ac:dyDescent="0.3"/>
    <row r="631" ht="11.25" customHeight="1" x14ac:dyDescent="0.3"/>
    <row r="632" ht="11.25" customHeight="1" x14ac:dyDescent="0.3"/>
    <row r="633" ht="11.25" customHeight="1" x14ac:dyDescent="0.3"/>
    <row r="634" ht="11.25" customHeight="1" x14ac:dyDescent="0.3"/>
    <row r="635" ht="11.25" customHeight="1" x14ac:dyDescent="0.3"/>
    <row r="636" ht="11.25" customHeight="1" x14ac:dyDescent="0.3"/>
    <row r="637" ht="11.25" customHeight="1" x14ac:dyDescent="0.3"/>
    <row r="638" ht="11.25" customHeight="1" x14ac:dyDescent="0.3"/>
    <row r="639" ht="11.25" customHeight="1" x14ac:dyDescent="0.3"/>
    <row r="640" ht="11.25" customHeight="1" x14ac:dyDescent="0.3"/>
    <row r="641" ht="11.25" customHeight="1" x14ac:dyDescent="0.3"/>
    <row r="642" ht="11.25" customHeight="1" x14ac:dyDescent="0.3"/>
    <row r="643" ht="11.25" customHeight="1" x14ac:dyDescent="0.3"/>
    <row r="644" ht="11.25" customHeight="1" x14ac:dyDescent="0.3"/>
    <row r="645" ht="11.25" customHeight="1" x14ac:dyDescent="0.3"/>
    <row r="646" ht="11.25" customHeight="1" x14ac:dyDescent="0.3"/>
    <row r="647" ht="11.25" customHeight="1" x14ac:dyDescent="0.3"/>
    <row r="648" ht="11.25" customHeight="1" x14ac:dyDescent="0.3"/>
    <row r="649" ht="11.25" customHeight="1" x14ac:dyDescent="0.3"/>
    <row r="650" ht="11.25" customHeight="1" x14ac:dyDescent="0.3"/>
    <row r="651" ht="11.25" customHeight="1" x14ac:dyDescent="0.3"/>
    <row r="652" ht="11.25" customHeight="1" x14ac:dyDescent="0.3"/>
    <row r="653" ht="11.25" customHeight="1" x14ac:dyDescent="0.3"/>
    <row r="654" ht="11.25" customHeight="1" x14ac:dyDescent="0.3"/>
    <row r="655" ht="11.25" customHeight="1" x14ac:dyDescent="0.3"/>
    <row r="656" ht="11.25" customHeight="1" x14ac:dyDescent="0.3"/>
    <row r="657" ht="11.25" customHeight="1" x14ac:dyDescent="0.3"/>
    <row r="658" ht="11.25" customHeight="1" x14ac:dyDescent="0.3"/>
    <row r="659" ht="11.25" customHeight="1" x14ac:dyDescent="0.3"/>
    <row r="660" ht="11.25" customHeight="1" x14ac:dyDescent="0.3"/>
    <row r="661" ht="11.25" customHeight="1" x14ac:dyDescent="0.3"/>
    <row r="662" ht="11.25" customHeight="1" x14ac:dyDescent="0.3"/>
    <row r="663" ht="11.25" customHeight="1" x14ac:dyDescent="0.3"/>
    <row r="664" ht="11.25" customHeight="1" x14ac:dyDescent="0.3"/>
    <row r="665" ht="11.25" customHeight="1" x14ac:dyDescent="0.3"/>
    <row r="666" ht="11.25" customHeight="1" x14ac:dyDescent="0.3"/>
    <row r="667" ht="11.25" customHeight="1" x14ac:dyDescent="0.3"/>
    <row r="668" ht="11.25" customHeight="1" x14ac:dyDescent="0.3"/>
    <row r="669" ht="11.25" customHeight="1" x14ac:dyDescent="0.3"/>
    <row r="670" ht="11.25" customHeight="1" x14ac:dyDescent="0.3"/>
    <row r="671" ht="11.25" customHeight="1" x14ac:dyDescent="0.3"/>
    <row r="672" ht="11.25" customHeight="1" x14ac:dyDescent="0.3"/>
    <row r="673" ht="11.25" customHeight="1" x14ac:dyDescent="0.3"/>
    <row r="674" ht="11.25" customHeight="1" x14ac:dyDescent="0.3"/>
    <row r="675" ht="11.25" customHeight="1" x14ac:dyDescent="0.3"/>
    <row r="676" ht="11.25" customHeight="1" x14ac:dyDescent="0.3"/>
    <row r="677" ht="11.25" customHeight="1" x14ac:dyDescent="0.3"/>
    <row r="678" ht="11.25" customHeight="1" x14ac:dyDescent="0.3"/>
    <row r="679" ht="11.25" customHeight="1" x14ac:dyDescent="0.3"/>
    <row r="680" ht="11.25" customHeight="1" x14ac:dyDescent="0.3"/>
    <row r="681" ht="11.25" customHeight="1" x14ac:dyDescent="0.3"/>
    <row r="682" ht="11.25" customHeight="1" x14ac:dyDescent="0.3"/>
    <row r="683" ht="11.25" customHeight="1" x14ac:dyDescent="0.3"/>
    <row r="684" ht="11.25" customHeight="1" x14ac:dyDescent="0.3"/>
    <row r="685" ht="11.25" customHeight="1" x14ac:dyDescent="0.3"/>
    <row r="686" ht="11.25" customHeight="1" x14ac:dyDescent="0.3"/>
    <row r="687" ht="11.25" customHeight="1" x14ac:dyDescent="0.3"/>
    <row r="688" ht="11.25" customHeight="1" x14ac:dyDescent="0.3"/>
    <row r="689" ht="11.25" customHeight="1" x14ac:dyDescent="0.3"/>
    <row r="690" ht="11.25" customHeight="1" x14ac:dyDescent="0.3"/>
    <row r="691" ht="11.25" customHeight="1" x14ac:dyDescent="0.3"/>
    <row r="692" ht="11.25" customHeight="1" x14ac:dyDescent="0.3"/>
    <row r="693" ht="11.25" customHeight="1" x14ac:dyDescent="0.3"/>
    <row r="694" ht="11.25" customHeight="1" x14ac:dyDescent="0.3"/>
    <row r="695" ht="11.25" customHeight="1" x14ac:dyDescent="0.3"/>
    <row r="696" ht="11.25" customHeight="1" x14ac:dyDescent="0.3"/>
    <row r="697" ht="11.25" customHeight="1" x14ac:dyDescent="0.3"/>
    <row r="698" ht="11.25" customHeight="1" x14ac:dyDescent="0.3"/>
    <row r="699" ht="11.25" customHeight="1" x14ac:dyDescent="0.3"/>
    <row r="700" ht="11.25" customHeight="1" x14ac:dyDescent="0.3"/>
    <row r="701" ht="11.25" customHeight="1" x14ac:dyDescent="0.3"/>
    <row r="702" ht="11.25" customHeight="1" x14ac:dyDescent="0.3"/>
    <row r="703" ht="11.25" customHeight="1" x14ac:dyDescent="0.3"/>
    <row r="704" ht="11.25" customHeight="1" x14ac:dyDescent="0.3"/>
    <row r="705" ht="11.25" customHeight="1" x14ac:dyDescent="0.3"/>
    <row r="706" ht="11.25" customHeight="1" x14ac:dyDescent="0.3"/>
    <row r="707" ht="11.25" customHeight="1" x14ac:dyDescent="0.3"/>
    <row r="708" ht="11.25" customHeight="1" x14ac:dyDescent="0.3"/>
    <row r="709" ht="11.25" customHeight="1" x14ac:dyDescent="0.3"/>
    <row r="710" ht="11.25" customHeight="1" x14ac:dyDescent="0.3"/>
    <row r="711" ht="11.25" customHeight="1" x14ac:dyDescent="0.3"/>
    <row r="712" ht="11.25" customHeight="1" x14ac:dyDescent="0.3"/>
    <row r="713" ht="11.25" customHeight="1" x14ac:dyDescent="0.3"/>
    <row r="714" ht="11.25" customHeight="1" x14ac:dyDescent="0.3"/>
    <row r="715" ht="11.25" customHeight="1" x14ac:dyDescent="0.3"/>
    <row r="716" ht="11.25" customHeight="1" x14ac:dyDescent="0.3"/>
    <row r="717" ht="11.25" customHeight="1" x14ac:dyDescent="0.3"/>
    <row r="718" ht="11.25" customHeight="1" x14ac:dyDescent="0.3"/>
    <row r="719" ht="11.25" customHeight="1" x14ac:dyDescent="0.3"/>
    <row r="720" ht="11.25" customHeight="1" x14ac:dyDescent="0.3"/>
    <row r="721" ht="11.25" customHeight="1" x14ac:dyDescent="0.3"/>
    <row r="722" ht="11.25" customHeight="1" x14ac:dyDescent="0.3"/>
    <row r="723" ht="11.25" customHeight="1" x14ac:dyDescent="0.3"/>
    <row r="724" ht="11.25" customHeight="1" x14ac:dyDescent="0.3"/>
    <row r="725" ht="11.25" customHeight="1" x14ac:dyDescent="0.3"/>
    <row r="726" ht="11.25" customHeight="1" x14ac:dyDescent="0.3"/>
    <row r="727" ht="11.25" customHeight="1" x14ac:dyDescent="0.3"/>
    <row r="728" ht="11.25" customHeight="1" x14ac:dyDescent="0.3"/>
    <row r="729" ht="11.25" customHeight="1" x14ac:dyDescent="0.3"/>
    <row r="730" ht="11.25" customHeight="1" x14ac:dyDescent="0.3"/>
    <row r="731" ht="11.25" customHeight="1" x14ac:dyDescent="0.3"/>
    <row r="732" ht="11.25" customHeight="1" x14ac:dyDescent="0.3"/>
    <row r="733" ht="11.25" customHeight="1" x14ac:dyDescent="0.3"/>
    <row r="734" ht="11.25" customHeight="1" x14ac:dyDescent="0.3"/>
    <row r="735" ht="11.25" customHeight="1" x14ac:dyDescent="0.3"/>
    <row r="736" ht="11.25" customHeight="1" x14ac:dyDescent="0.3"/>
    <row r="737" ht="11.25" customHeight="1" x14ac:dyDescent="0.3"/>
    <row r="738" ht="11.25" customHeight="1" x14ac:dyDescent="0.3"/>
    <row r="739" ht="11.25" customHeight="1" x14ac:dyDescent="0.3"/>
    <row r="740" ht="11.25" customHeight="1" x14ac:dyDescent="0.3"/>
    <row r="741" ht="11.25" customHeight="1" x14ac:dyDescent="0.3"/>
    <row r="742" ht="11.25" customHeight="1" x14ac:dyDescent="0.3"/>
    <row r="743" ht="11.25" customHeight="1" x14ac:dyDescent="0.3"/>
    <row r="744" ht="11.25" customHeight="1" x14ac:dyDescent="0.3"/>
    <row r="745" ht="11.25" customHeight="1" x14ac:dyDescent="0.3"/>
    <row r="746" ht="11.25" customHeight="1" x14ac:dyDescent="0.3"/>
    <row r="747" ht="11.25" customHeight="1" x14ac:dyDescent="0.3"/>
    <row r="748" ht="11.25" customHeight="1" x14ac:dyDescent="0.3"/>
    <row r="749" ht="11.25" customHeight="1" x14ac:dyDescent="0.3"/>
    <row r="750" ht="11.25" customHeight="1" x14ac:dyDescent="0.3"/>
    <row r="751" ht="11.25" customHeight="1" x14ac:dyDescent="0.3"/>
    <row r="752" ht="11.25" customHeight="1" x14ac:dyDescent="0.3"/>
    <row r="753" ht="11.25" customHeight="1" x14ac:dyDescent="0.3"/>
    <row r="754" ht="11.25" customHeight="1" x14ac:dyDescent="0.3"/>
    <row r="755" ht="11.25" customHeight="1" x14ac:dyDescent="0.3"/>
    <row r="756" ht="11.25" customHeight="1" x14ac:dyDescent="0.3"/>
    <row r="757" ht="11.25" customHeight="1" x14ac:dyDescent="0.3"/>
    <row r="758" ht="11.25" customHeight="1" x14ac:dyDescent="0.3"/>
    <row r="759" ht="11.25" customHeight="1" x14ac:dyDescent="0.3"/>
    <row r="760" ht="11.25" customHeight="1" x14ac:dyDescent="0.3"/>
    <row r="761" ht="11.25" customHeight="1" x14ac:dyDescent="0.3"/>
    <row r="762" ht="11.25" customHeight="1" x14ac:dyDescent="0.3"/>
    <row r="763" ht="11.25" customHeight="1" x14ac:dyDescent="0.3"/>
    <row r="764" ht="11.25" customHeight="1" x14ac:dyDescent="0.3"/>
    <row r="765" ht="11.25" customHeight="1" x14ac:dyDescent="0.3"/>
    <row r="766" ht="11.25" customHeight="1" x14ac:dyDescent="0.3"/>
    <row r="767" ht="11.25" customHeight="1" x14ac:dyDescent="0.3"/>
    <row r="768" ht="11.25" customHeight="1" x14ac:dyDescent="0.3"/>
    <row r="769" ht="11.25" customHeight="1" x14ac:dyDescent="0.3"/>
    <row r="770" ht="11.25" customHeight="1" x14ac:dyDescent="0.3"/>
    <row r="771" ht="11.25" customHeight="1" x14ac:dyDescent="0.3"/>
    <row r="772" ht="11.25" customHeight="1" x14ac:dyDescent="0.3"/>
    <row r="773" ht="11.25" customHeight="1" x14ac:dyDescent="0.3"/>
    <row r="774" ht="11.25" customHeight="1" x14ac:dyDescent="0.3"/>
    <row r="775" ht="11.25" customHeight="1" x14ac:dyDescent="0.3"/>
    <row r="776" ht="11.25" customHeight="1" x14ac:dyDescent="0.3"/>
    <row r="777" ht="11.25" customHeight="1" x14ac:dyDescent="0.3"/>
    <row r="778" ht="11.25" customHeight="1" x14ac:dyDescent="0.3"/>
    <row r="779" ht="11.25" customHeight="1" x14ac:dyDescent="0.3"/>
    <row r="780" ht="11.25" customHeight="1" x14ac:dyDescent="0.3"/>
    <row r="781" ht="11.25" customHeight="1" x14ac:dyDescent="0.3"/>
    <row r="782" ht="11.25" customHeight="1" x14ac:dyDescent="0.3"/>
    <row r="783" ht="11.25" customHeight="1" x14ac:dyDescent="0.3"/>
    <row r="784" ht="11.25" customHeight="1" x14ac:dyDescent="0.3"/>
    <row r="785" ht="11.25" customHeight="1" x14ac:dyDescent="0.3"/>
    <row r="786" ht="11.25" customHeight="1" x14ac:dyDescent="0.3"/>
    <row r="787" ht="11.25" customHeight="1" x14ac:dyDescent="0.3"/>
    <row r="788" ht="11.25" customHeight="1" x14ac:dyDescent="0.3"/>
    <row r="789" ht="11.25" customHeight="1" x14ac:dyDescent="0.3"/>
    <row r="790" ht="11.25" customHeight="1" x14ac:dyDescent="0.3"/>
    <row r="791" ht="11.25" customHeight="1" x14ac:dyDescent="0.3"/>
    <row r="792" ht="11.25" customHeight="1" x14ac:dyDescent="0.3"/>
    <row r="793" ht="11.25" customHeight="1" x14ac:dyDescent="0.3"/>
    <row r="794" ht="11.25" customHeight="1" x14ac:dyDescent="0.3"/>
    <row r="795" ht="11.25" customHeight="1" x14ac:dyDescent="0.3"/>
    <row r="796" ht="11.25" customHeight="1" x14ac:dyDescent="0.3"/>
    <row r="797" ht="11.25" customHeight="1" x14ac:dyDescent="0.3"/>
    <row r="798" ht="11.25" customHeight="1" x14ac:dyDescent="0.3"/>
    <row r="799" ht="11.25" customHeight="1" x14ac:dyDescent="0.3"/>
    <row r="800" ht="11.25" customHeight="1" x14ac:dyDescent="0.3"/>
    <row r="801" ht="11.25" customHeight="1" x14ac:dyDescent="0.3"/>
    <row r="802" ht="11.25" customHeight="1" x14ac:dyDescent="0.3"/>
    <row r="803" ht="11.25" customHeight="1" x14ac:dyDescent="0.3"/>
    <row r="804" ht="11.25" customHeight="1" x14ac:dyDescent="0.3"/>
    <row r="805" ht="11.25" customHeight="1" x14ac:dyDescent="0.3"/>
    <row r="806" ht="11.25" customHeight="1" x14ac:dyDescent="0.3"/>
    <row r="807" ht="11.25" customHeight="1" x14ac:dyDescent="0.3"/>
    <row r="808" ht="11.25" customHeight="1" x14ac:dyDescent="0.3"/>
    <row r="809" ht="11.25" customHeight="1" x14ac:dyDescent="0.3"/>
    <row r="810" ht="11.25" customHeight="1" x14ac:dyDescent="0.3"/>
    <row r="811" ht="11.25" customHeight="1" x14ac:dyDescent="0.3"/>
    <row r="812" ht="11.25" customHeight="1" x14ac:dyDescent="0.3"/>
    <row r="813" ht="11.25" customHeight="1" x14ac:dyDescent="0.3"/>
    <row r="814" ht="11.25" customHeight="1" x14ac:dyDescent="0.3"/>
    <row r="815" ht="11.25" customHeight="1" x14ac:dyDescent="0.3"/>
    <row r="816" ht="11.25" customHeight="1" x14ac:dyDescent="0.3"/>
    <row r="817" ht="11.25" customHeight="1" x14ac:dyDescent="0.3"/>
    <row r="818" ht="11.25" customHeight="1" x14ac:dyDescent="0.3"/>
    <row r="819" ht="11.25" customHeight="1" x14ac:dyDescent="0.3"/>
    <row r="820" ht="11.25" customHeight="1" x14ac:dyDescent="0.3"/>
    <row r="821" ht="11.25" customHeight="1" x14ac:dyDescent="0.3"/>
    <row r="822" ht="11.25" customHeight="1" x14ac:dyDescent="0.3"/>
    <row r="823" ht="11.25" customHeight="1" x14ac:dyDescent="0.3"/>
    <row r="824" ht="11.25" customHeight="1" x14ac:dyDescent="0.3"/>
    <row r="825" ht="11.25" customHeight="1" x14ac:dyDescent="0.3"/>
    <row r="826" ht="11.25" customHeight="1" x14ac:dyDescent="0.3"/>
    <row r="827" ht="11.25" customHeight="1" x14ac:dyDescent="0.3"/>
    <row r="828" ht="11.25" customHeight="1" x14ac:dyDescent="0.3"/>
    <row r="829" ht="11.25" customHeight="1" x14ac:dyDescent="0.3"/>
    <row r="830" ht="11.25" customHeight="1" x14ac:dyDescent="0.3"/>
    <row r="831" ht="11.25" customHeight="1" x14ac:dyDescent="0.3"/>
    <row r="832" ht="11.25" customHeight="1" x14ac:dyDescent="0.3"/>
    <row r="833" ht="11.25" customHeight="1" x14ac:dyDescent="0.3"/>
    <row r="834" ht="11.25" customHeight="1" x14ac:dyDescent="0.3"/>
    <row r="835" ht="11.25" customHeight="1" x14ac:dyDescent="0.3"/>
    <row r="836" ht="11.25" customHeight="1" x14ac:dyDescent="0.3"/>
    <row r="837" ht="11.25" customHeight="1" x14ac:dyDescent="0.3"/>
    <row r="838" ht="11.25" customHeight="1" x14ac:dyDescent="0.3"/>
    <row r="839" ht="11.25" customHeight="1" x14ac:dyDescent="0.3"/>
    <row r="840" ht="11.25" customHeight="1" x14ac:dyDescent="0.3"/>
    <row r="841" ht="11.25" customHeight="1" x14ac:dyDescent="0.3"/>
    <row r="842" ht="11.25" customHeight="1" x14ac:dyDescent="0.3"/>
    <row r="843" ht="11.25" customHeight="1" x14ac:dyDescent="0.3"/>
    <row r="844" ht="11.25" customHeight="1" x14ac:dyDescent="0.3"/>
    <row r="845" ht="11.25" customHeight="1" x14ac:dyDescent="0.3"/>
    <row r="846" ht="11.25" customHeight="1" x14ac:dyDescent="0.3"/>
    <row r="847" ht="11.25" customHeight="1" x14ac:dyDescent="0.3"/>
    <row r="848" ht="11.25" customHeight="1" x14ac:dyDescent="0.3"/>
    <row r="849" ht="11.25" customHeight="1" x14ac:dyDescent="0.3"/>
    <row r="850" ht="11.25" customHeight="1" x14ac:dyDescent="0.3"/>
    <row r="851" ht="11.25" customHeight="1" x14ac:dyDescent="0.3"/>
    <row r="852" ht="11.25" customHeight="1" x14ac:dyDescent="0.3"/>
    <row r="853" ht="11.25" customHeight="1" x14ac:dyDescent="0.3"/>
    <row r="854" ht="11.25" customHeight="1" x14ac:dyDescent="0.3"/>
    <row r="855" ht="11.25" customHeight="1" x14ac:dyDescent="0.3"/>
    <row r="856" ht="11.25" customHeight="1" x14ac:dyDescent="0.3"/>
    <row r="857" ht="11.25" customHeight="1" x14ac:dyDescent="0.3"/>
    <row r="858" ht="11.25" customHeight="1" x14ac:dyDescent="0.3"/>
    <row r="859" ht="11.25" customHeight="1" x14ac:dyDescent="0.3"/>
    <row r="860" ht="11.25" customHeight="1" x14ac:dyDescent="0.3"/>
    <row r="861" ht="11.25" customHeight="1" x14ac:dyDescent="0.3"/>
    <row r="862" ht="11.25" customHeight="1" x14ac:dyDescent="0.3"/>
    <row r="863" ht="11.25" customHeight="1" x14ac:dyDescent="0.3"/>
    <row r="864" ht="11.25" customHeight="1" x14ac:dyDescent="0.3"/>
    <row r="865" ht="11.25" customHeight="1" x14ac:dyDescent="0.3"/>
    <row r="866" ht="11.25" customHeight="1" x14ac:dyDescent="0.3"/>
    <row r="867" ht="11.25" customHeight="1" x14ac:dyDescent="0.3"/>
    <row r="868" ht="11.25" customHeight="1" x14ac:dyDescent="0.3"/>
    <row r="869" ht="11.25" customHeight="1" x14ac:dyDescent="0.3"/>
    <row r="870" ht="11.25" customHeight="1" x14ac:dyDescent="0.3"/>
    <row r="871" ht="11.25" customHeight="1" x14ac:dyDescent="0.3"/>
    <row r="872" ht="11.25" customHeight="1" x14ac:dyDescent="0.3"/>
    <row r="873" ht="11.25" customHeight="1" x14ac:dyDescent="0.3"/>
    <row r="874" ht="11.25" customHeight="1" x14ac:dyDescent="0.3"/>
    <row r="875" ht="11.25" customHeight="1" x14ac:dyDescent="0.3"/>
    <row r="876" ht="11.25" customHeight="1" x14ac:dyDescent="0.3"/>
    <row r="877" ht="11.25" customHeight="1" x14ac:dyDescent="0.3"/>
    <row r="878" ht="11.25" customHeight="1" x14ac:dyDescent="0.3"/>
    <row r="879" ht="11.25" customHeight="1" x14ac:dyDescent="0.3"/>
    <row r="880" ht="11.25" customHeight="1" x14ac:dyDescent="0.3"/>
    <row r="881" ht="11.25" customHeight="1" x14ac:dyDescent="0.3"/>
    <row r="882" ht="11.25" customHeight="1" x14ac:dyDescent="0.3"/>
    <row r="883" ht="11.25" customHeight="1" x14ac:dyDescent="0.3"/>
    <row r="884" ht="11.25" customHeight="1" x14ac:dyDescent="0.3"/>
    <row r="885" ht="11.25" customHeight="1" x14ac:dyDescent="0.3"/>
    <row r="886" ht="11.25" customHeight="1" x14ac:dyDescent="0.3"/>
    <row r="887" ht="11.25" customHeight="1" x14ac:dyDescent="0.3"/>
    <row r="888" ht="11.25" customHeight="1" x14ac:dyDescent="0.3"/>
    <row r="889" ht="11.25" customHeight="1" x14ac:dyDescent="0.3"/>
    <row r="890" ht="11.25" customHeight="1" x14ac:dyDescent="0.3"/>
    <row r="891" ht="11.25" customHeight="1" x14ac:dyDescent="0.3"/>
    <row r="892" ht="11.25" customHeight="1" x14ac:dyDescent="0.3"/>
    <row r="893" ht="11.25" customHeight="1" x14ac:dyDescent="0.3"/>
    <row r="894" ht="11.25" customHeight="1" x14ac:dyDescent="0.3"/>
    <row r="895" ht="11.25" customHeight="1" x14ac:dyDescent="0.3"/>
    <row r="896" ht="11.25" customHeight="1" x14ac:dyDescent="0.3"/>
    <row r="897" ht="11.25" customHeight="1" x14ac:dyDescent="0.3"/>
    <row r="898" ht="11.25" customHeight="1" x14ac:dyDescent="0.3"/>
    <row r="899" ht="11.25" customHeight="1" x14ac:dyDescent="0.3"/>
    <row r="900" ht="11.25" customHeight="1" x14ac:dyDescent="0.3"/>
    <row r="901" ht="11.25" customHeight="1" x14ac:dyDescent="0.3"/>
    <row r="902" ht="11.25" customHeight="1" x14ac:dyDescent="0.3"/>
    <row r="903" ht="11.25" customHeight="1" x14ac:dyDescent="0.3"/>
    <row r="904" ht="11.25" customHeight="1" x14ac:dyDescent="0.3"/>
    <row r="905" ht="11.25" customHeight="1" x14ac:dyDescent="0.3"/>
    <row r="906" ht="11.25" customHeight="1" x14ac:dyDescent="0.3"/>
    <row r="907" ht="11.25" customHeight="1" x14ac:dyDescent="0.3"/>
    <row r="908" ht="11.25" customHeight="1" x14ac:dyDescent="0.3"/>
    <row r="909" ht="11.25" customHeight="1" x14ac:dyDescent="0.3"/>
    <row r="910" ht="11.25" customHeight="1" x14ac:dyDescent="0.3"/>
    <row r="911" ht="11.25" customHeight="1" x14ac:dyDescent="0.3"/>
    <row r="912" ht="11.25" customHeight="1" x14ac:dyDescent="0.3"/>
    <row r="913" ht="11.25" customHeight="1" x14ac:dyDescent="0.3"/>
    <row r="914" ht="11.25" customHeight="1" x14ac:dyDescent="0.3"/>
    <row r="915" ht="11.25" customHeight="1" x14ac:dyDescent="0.3"/>
    <row r="916" ht="11.25" customHeight="1" x14ac:dyDescent="0.3"/>
    <row r="917" ht="11.25" customHeight="1" x14ac:dyDescent="0.3"/>
    <row r="918" ht="11.25" customHeight="1" x14ac:dyDescent="0.3"/>
    <row r="919" ht="11.25" customHeight="1" x14ac:dyDescent="0.3"/>
    <row r="920" ht="11.25" customHeight="1" x14ac:dyDescent="0.3"/>
    <row r="921" ht="11.25" customHeight="1" x14ac:dyDescent="0.3"/>
    <row r="922" ht="11.25" customHeight="1" x14ac:dyDescent="0.3"/>
    <row r="923" ht="11.25" customHeight="1" x14ac:dyDescent="0.3"/>
    <row r="924" ht="11.25" customHeight="1" x14ac:dyDescent="0.3"/>
    <row r="925" ht="11.25" customHeight="1" x14ac:dyDescent="0.3"/>
    <row r="926" ht="11.25" customHeight="1" x14ac:dyDescent="0.3"/>
    <row r="927" ht="11.25" customHeight="1" x14ac:dyDescent="0.3"/>
    <row r="928" ht="11.25" customHeight="1" x14ac:dyDescent="0.3"/>
    <row r="929" ht="11.25" customHeight="1" x14ac:dyDescent="0.3"/>
    <row r="930" ht="11.25" customHeight="1" x14ac:dyDescent="0.3"/>
    <row r="931" ht="11.25" customHeight="1" x14ac:dyDescent="0.3"/>
    <row r="932" ht="11.25" customHeight="1" x14ac:dyDescent="0.3"/>
    <row r="933" ht="11.25" customHeight="1" x14ac:dyDescent="0.3"/>
    <row r="934" ht="11.25" customHeight="1" x14ac:dyDescent="0.3"/>
    <row r="935" ht="11.25" customHeight="1" x14ac:dyDescent="0.3"/>
    <row r="936" ht="11.25" customHeight="1" x14ac:dyDescent="0.3"/>
    <row r="937" ht="11.25" customHeight="1" x14ac:dyDescent="0.3"/>
    <row r="938" ht="11.25" customHeight="1" x14ac:dyDescent="0.3"/>
    <row r="939" ht="11.25" customHeight="1" x14ac:dyDescent="0.3"/>
    <row r="940" ht="11.25" customHeight="1" x14ac:dyDescent="0.3"/>
    <row r="941" ht="11.25" customHeight="1" x14ac:dyDescent="0.3"/>
    <row r="942" ht="11.25" customHeight="1" x14ac:dyDescent="0.3"/>
    <row r="943" ht="11.25" customHeight="1" x14ac:dyDescent="0.3"/>
    <row r="944" ht="11.25" customHeight="1" x14ac:dyDescent="0.3"/>
    <row r="945" ht="11.25" customHeight="1" x14ac:dyDescent="0.3"/>
    <row r="946" ht="11.25" customHeight="1" x14ac:dyDescent="0.3"/>
    <row r="947" ht="11.25" customHeight="1" x14ac:dyDescent="0.3"/>
    <row r="948" ht="11.25" customHeight="1" x14ac:dyDescent="0.3"/>
    <row r="949" ht="11.25" customHeight="1" x14ac:dyDescent="0.3"/>
    <row r="950" ht="11.25" customHeight="1" x14ac:dyDescent="0.3"/>
    <row r="951" ht="11.25" customHeight="1" x14ac:dyDescent="0.3"/>
    <row r="952" ht="11.25" customHeight="1" x14ac:dyDescent="0.3"/>
    <row r="953" ht="11.25" customHeight="1" x14ac:dyDescent="0.3"/>
    <row r="954" ht="11.25" customHeight="1" x14ac:dyDescent="0.3"/>
    <row r="955" ht="11.25" customHeight="1" x14ac:dyDescent="0.3"/>
    <row r="956" ht="11.25" customHeight="1" x14ac:dyDescent="0.3"/>
    <row r="957" ht="11.25" customHeight="1" x14ac:dyDescent="0.3"/>
    <row r="958" ht="11.25" customHeight="1" x14ac:dyDescent="0.3"/>
    <row r="959" ht="11.25" customHeight="1" x14ac:dyDescent="0.3"/>
    <row r="960" ht="11.25" customHeight="1" x14ac:dyDescent="0.3"/>
    <row r="961" ht="11.25" customHeight="1" x14ac:dyDescent="0.3"/>
    <row r="962" ht="11.25" customHeight="1" x14ac:dyDescent="0.3"/>
    <row r="963" ht="11.25" customHeight="1" x14ac:dyDescent="0.3"/>
    <row r="964" ht="11.25" customHeight="1" x14ac:dyDescent="0.3"/>
    <row r="965" ht="11.25" customHeight="1" x14ac:dyDescent="0.3"/>
    <row r="966" ht="11.25" customHeight="1" x14ac:dyDescent="0.3"/>
    <row r="967" ht="11.25" customHeight="1" x14ac:dyDescent="0.3"/>
    <row r="968" ht="11.25" customHeight="1" x14ac:dyDescent="0.3"/>
    <row r="969" ht="11.25" customHeight="1" x14ac:dyDescent="0.3"/>
    <row r="970" ht="11.25" customHeight="1" x14ac:dyDescent="0.3"/>
    <row r="971" ht="11.25" customHeight="1" x14ac:dyDescent="0.3"/>
    <row r="972" ht="11.25" customHeight="1" x14ac:dyDescent="0.3"/>
    <row r="973" ht="11.25" customHeight="1" x14ac:dyDescent="0.3"/>
    <row r="974" ht="11.25" customHeight="1" x14ac:dyDescent="0.3"/>
    <row r="975" ht="11.25" customHeight="1" x14ac:dyDescent="0.3"/>
    <row r="976" ht="11.25" customHeight="1" x14ac:dyDescent="0.3"/>
    <row r="977" ht="11.25" customHeight="1" x14ac:dyDescent="0.3"/>
    <row r="978" ht="11.25" customHeight="1" x14ac:dyDescent="0.3"/>
    <row r="979" ht="11.25" customHeight="1" x14ac:dyDescent="0.3"/>
    <row r="980" ht="11.25" customHeight="1" x14ac:dyDescent="0.3"/>
    <row r="981" ht="11.25" customHeight="1" x14ac:dyDescent="0.3"/>
    <row r="982" ht="11.25" customHeight="1" x14ac:dyDescent="0.3"/>
    <row r="983" ht="11.25" customHeight="1" x14ac:dyDescent="0.3"/>
    <row r="984" ht="11.25" customHeight="1" x14ac:dyDescent="0.3"/>
    <row r="985" ht="11.25" customHeight="1" x14ac:dyDescent="0.3"/>
    <row r="986" ht="11.25" customHeight="1" x14ac:dyDescent="0.3"/>
    <row r="987" ht="11.25" customHeight="1" x14ac:dyDescent="0.3"/>
    <row r="988" ht="11.25" customHeight="1" x14ac:dyDescent="0.3"/>
    <row r="989" ht="11.25" customHeight="1" x14ac:dyDescent="0.3"/>
    <row r="990" ht="11.25" customHeight="1" x14ac:dyDescent="0.3"/>
    <row r="991" ht="11.25" customHeight="1" x14ac:dyDescent="0.3"/>
    <row r="992" ht="11.25" customHeight="1" x14ac:dyDescent="0.3"/>
    <row r="993" ht="11.25" customHeight="1" x14ac:dyDescent="0.3"/>
    <row r="994" ht="11.25" customHeight="1" x14ac:dyDescent="0.3"/>
    <row r="995" ht="11.25" customHeight="1" x14ac:dyDescent="0.3"/>
    <row r="996" ht="11.25" customHeight="1" x14ac:dyDescent="0.3"/>
    <row r="997" ht="11.25" customHeight="1" x14ac:dyDescent="0.3"/>
    <row r="998" ht="11.25" customHeight="1" x14ac:dyDescent="0.3"/>
    <row r="999" ht="11.25" customHeight="1" x14ac:dyDescent="0.3"/>
    <row r="1000" ht="11.25" customHeight="1" x14ac:dyDescent="0.3"/>
    <row r="1001" ht="11.25" customHeight="1" x14ac:dyDescent="0.3"/>
    <row r="1002" ht="11.25" customHeight="1" x14ac:dyDescent="0.3"/>
    <row r="1003" ht="11.25" customHeight="1" x14ac:dyDescent="0.3"/>
    <row r="1004" ht="11.25" customHeight="1" x14ac:dyDescent="0.3"/>
    <row r="1005" ht="11.25" customHeight="1" x14ac:dyDescent="0.3"/>
    <row r="1006" ht="11.25" customHeight="1" x14ac:dyDescent="0.3"/>
    <row r="1007" ht="11.25" customHeight="1" x14ac:dyDescent="0.3"/>
    <row r="1008" ht="11.25" customHeight="1" x14ac:dyDescent="0.3"/>
    <row r="1009" ht="11.25" customHeight="1" x14ac:dyDescent="0.3"/>
    <row r="1010" ht="11.25" customHeight="1" x14ac:dyDescent="0.3"/>
    <row r="1011" ht="11.25" customHeight="1" x14ac:dyDescent="0.3"/>
    <row r="1012" ht="11.25" customHeight="1" x14ac:dyDescent="0.3"/>
    <row r="1013" ht="11.25" customHeight="1" x14ac:dyDescent="0.3"/>
    <row r="1014" ht="11.25" customHeight="1" x14ac:dyDescent="0.3"/>
    <row r="1015" ht="11.25" customHeight="1" x14ac:dyDescent="0.3"/>
    <row r="1016" ht="11.25" customHeight="1" x14ac:dyDescent="0.3"/>
    <row r="1017" ht="11.25" customHeight="1" x14ac:dyDescent="0.3"/>
    <row r="1018" ht="11.25" customHeight="1" x14ac:dyDescent="0.3"/>
    <row r="1019" ht="11.25" customHeight="1" x14ac:dyDescent="0.3"/>
    <row r="1020" ht="11.25" customHeight="1" x14ac:dyDescent="0.3"/>
    <row r="1021" ht="11.25" customHeight="1" x14ac:dyDescent="0.3"/>
    <row r="1022" ht="11.25" customHeight="1" x14ac:dyDescent="0.3"/>
    <row r="1023" ht="11.25" customHeight="1" x14ac:dyDescent="0.3"/>
    <row r="1024" ht="11.25" customHeight="1" x14ac:dyDescent="0.3"/>
    <row r="1025" ht="11.25" customHeight="1" x14ac:dyDescent="0.3"/>
    <row r="1026" ht="11.25" customHeight="1" x14ac:dyDescent="0.3"/>
    <row r="1027" ht="11.25" customHeight="1" x14ac:dyDescent="0.3"/>
    <row r="1028" ht="11.25" customHeight="1" x14ac:dyDescent="0.3"/>
    <row r="1029" ht="11.25" customHeight="1" x14ac:dyDescent="0.3"/>
    <row r="1030" ht="11.25" customHeight="1" x14ac:dyDescent="0.3"/>
    <row r="1031" ht="11.25" customHeight="1" x14ac:dyDescent="0.3"/>
    <row r="1032" ht="11.25" customHeight="1" x14ac:dyDescent="0.3"/>
    <row r="1033" ht="11.25" customHeight="1" x14ac:dyDescent="0.3"/>
    <row r="1034" ht="11.25" customHeight="1" x14ac:dyDescent="0.3"/>
    <row r="1035" ht="11.25" customHeight="1" x14ac:dyDescent="0.3"/>
    <row r="1036" ht="11.25" customHeight="1" x14ac:dyDescent="0.3"/>
    <row r="1037" ht="11.25" customHeight="1" x14ac:dyDescent="0.3"/>
    <row r="1038" ht="11.25" customHeight="1" x14ac:dyDescent="0.3"/>
    <row r="1039" ht="11.25" customHeight="1" x14ac:dyDescent="0.3"/>
    <row r="1040" ht="11.25" customHeight="1" x14ac:dyDescent="0.3"/>
    <row r="1041" ht="11.25" customHeight="1" x14ac:dyDescent="0.3"/>
    <row r="1042" ht="11.25" customHeight="1" x14ac:dyDescent="0.3"/>
    <row r="1043" ht="11.25" customHeight="1" x14ac:dyDescent="0.3"/>
    <row r="1044" ht="11.25" customHeight="1" x14ac:dyDescent="0.3"/>
    <row r="1045" ht="11.25" customHeight="1" x14ac:dyDescent="0.3"/>
    <row r="1046" ht="11.25" customHeight="1" x14ac:dyDescent="0.3"/>
    <row r="1047" ht="11.25" customHeight="1" x14ac:dyDescent="0.3"/>
    <row r="1048" ht="11.25" customHeight="1" x14ac:dyDescent="0.3"/>
    <row r="1049" ht="11.25" customHeight="1" x14ac:dyDescent="0.3"/>
    <row r="1050" ht="11.25" customHeight="1" x14ac:dyDescent="0.3"/>
    <row r="1051" ht="11.25" customHeight="1" x14ac:dyDescent="0.3"/>
    <row r="1052" ht="11.25" customHeight="1" x14ac:dyDescent="0.3"/>
    <row r="1053" ht="11.25" customHeight="1" x14ac:dyDescent="0.3"/>
    <row r="1054" ht="11.25" customHeight="1" x14ac:dyDescent="0.3"/>
    <row r="1055" ht="11.25" customHeight="1" x14ac:dyDescent="0.3"/>
    <row r="1056" ht="11.25" customHeight="1" x14ac:dyDescent="0.3"/>
    <row r="1057" ht="11.25" customHeight="1" x14ac:dyDescent="0.3"/>
    <row r="1058" ht="11.25" customHeight="1" x14ac:dyDescent="0.3"/>
    <row r="1059" ht="11.25" customHeight="1" x14ac:dyDescent="0.3"/>
    <row r="1060" ht="11.25" customHeight="1" x14ac:dyDescent="0.3"/>
    <row r="1061" ht="11.25" customHeight="1" x14ac:dyDescent="0.3"/>
    <row r="1062" ht="11.25" customHeight="1" x14ac:dyDescent="0.3"/>
    <row r="1063" ht="11.25" customHeight="1" x14ac:dyDescent="0.3"/>
    <row r="1064" ht="11.25" customHeight="1" x14ac:dyDescent="0.3"/>
    <row r="1065" ht="11.25" customHeight="1" x14ac:dyDescent="0.3"/>
    <row r="1066" ht="11.25" customHeight="1" x14ac:dyDescent="0.3"/>
    <row r="1067" ht="11.25" customHeight="1" x14ac:dyDescent="0.3"/>
    <row r="1068" ht="11.25" customHeight="1" x14ac:dyDescent="0.3"/>
    <row r="1069" ht="11.25" customHeight="1" x14ac:dyDescent="0.3"/>
    <row r="1070" ht="11.25" customHeight="1" x14ac:dyDescent="0.3"/>
    <row r="1071" ht="11.25" customHeight="1" x14ac:dyDescent="0.3"/>
    <row r="1072" ht="11.25" customHeight="1" x14ac:dyDescent="0.3"/>
    <row r="1073" ht="11.25" customHeight="1" x14ac:dyDescent="0.3"/>
    <row r="1074" ht="11.25" customHeight="1" x14ac:dyDescent="0.3"/>
    <row r="1075" ht="11.25" customHeight="1" x14ac:dyDescent="0.3"/>
    <row r="1076" ht="11.25" customHeight="1" x14ac:dyDescent="0.3"/>
    <row r="1077" ht="11.25" customHeight="1" x14ac:dyDescent="0.3"/>
    <row r="1078" ht="11.25" customHeight="1" x14ac:dyDescent="0.3"/>
    <row r="1079" ht="11.25" customHeight="1" x14ac:dyDescent="0.3"/>
    <row r="1080" ht="11.25" customHeight="1" x14ac:dyDescent="0.3"/>
    <row r="1081" ht="11.25" customHeight="1" x14ac:dyDescent="0.3"/>
    <row r="1082" ht="11.25" customHeight="1" x14ac:dyDescent="0.3"/>
    <row r="1083" ht="11.25" customHeight="1" x14ac:dyDescent="0.3"/>
    <row r="1084" ht="11.25" customHeight="1" x14ac:dyDescent="0.3"/>
    <row r="1085" ht="11.25" customHeight="1" x14ac:dyDescent="0.3"/>
    <row r="1086" ht="11.25" customHeight="1" x14ac:dyDescent="0.3"/>
    <row r="1087" ht="11.25" customHeight="1" x14ac:dyDescent="0.3"/>
    <row r="1088" ht="11.25" customHeight="1" x14ac:dyDescent="0.3"/>
    <row r="1089" ht="11.25" customHeight="1" x14ac:dyDescent="0.3"/>
    <row r="1090" ht="11.25" customHeight="1" x14ac:dyDescent="0.3"/>
    <row r="1091" ht="11.25" customHeight="1" x14ac:dyDescent="0.3"/>
    <row r="1092" ht="11.25" customHeight="1" x14ac:dyDescent="0.3"/>
    <row r="1093" ht="11.25" customHeight="1" x14ac:dyDescent="0.3"/>
    <row r="1094" ht="11.25" customHeight="1" x14ac:dyDescent="0.3"/>
    <row r="1095" ht="11.25" customHeight="1" x14ac:dyDescent="0.3"/>
    <row r="1096" ht="11.25" customHeight="1" x14ac:dyDescent="0.3"/>
    <row r="1097" ht="11.25" customHeight="1" x14ac:dyDescent="0.3"/>
    <row r="1098" ht="11.25" customHeight="1" x14ac:dyDescent="0.3"/>
    <row r="1099" ht="11.25" customHeight="1" x14ac:dyDescent="0.3"/>
    <row r="1100" ht="11.25" customHeight="1" x14ac:dyDescent="0.3"/>
    <row r="1101" ht="11.25" customHeight="1" x14ac:dyDescent="0.3"/>
    <row r="1102" ht="11.25" customHeight="1" x14ac:dyDescent="0.3"/>
    <row r="1103" ht="11.25" customHeight="1" x14ac:dyDescent="0.3"/>
    <row r="1104" ht="11.25" customHeight="1" x14ac:dyDescent="0.3"/>
    <row r="1105" ht="11.25" customHeight="1" x14ac:dyDescent="0.3"/>
    <row r="1106" ht="11.25" customHeight="1" x14ac:dyDescent="0.3"/>
    <row r="1107" ht="11.25" customHeight="1" x14ac:dyDescent="0.3"/>
    <row r="1108" ht="11.25" customHeight="1" x14ac:dyDescent="0.3"/>
    <row r="1109" ht="11.25" customHeight="1" x14ac:dyDescent="0.3"/>
    <row r="1110" ht="11.25" customHeight="1" x14ac:dyDescent="0.3"/>
    <row r="1111" ht="11.25" customHeight="1" x14ac:dyDescent="0.3"/>
    <row r="1112" ht="11.25" customHeight="1" x14ac:dyDescent="0.3"/>
    <row r="1113" ht="11.25" customHeight="1" x14ac:dyDescent="0.3"/>
    <row r="1114" ht="11.25" customHeight="1" x14ac:dyDescent="0.3"/>
    <row r="1115" ht="11.25" customHeight="1" x14ac:dyDescent="0.3"/>
    <row r="1116" ht="11.25" customHeight="1" x14ac:dyDescent="0.3"/>
    <row r="1117" ht="11.25" customHeight="1" x14ac:dyDescent="0.3"/>
    <row r="1118" ht="11.25" customHeight="1" x14ac:dyDescent="0.3"/>
    <row r="1119" ht="11.25" customHeight="1" x14ac:dyDescent="0.3"/>
    <row r="1120" ht="11.25" customHeight="1" x14ac:dyDescent="0.3"/>
    <row r="1121" ht="11.25" customHeight="1" x14ac:dyDescent="0.3"/>
    <row r="1122" ht="11.25" customHeight="1" x14ac:dyDescent="0.3"/>
    <row r="1123" ht="11.25" customHeight="1" x14ac:dyDescent="0.3"/>
    <row r="1124" ht="11.25" customHeight="1" x14ac:dyDescent="0.3"/>
    <row r="1125" ht="11.25" customHeight="1" x14ac:dyDescent="0.3"/>
    <row r="1126" ht="11.25" customHeight="1" x14ac:dyDescent="0.3"/>
    <row r="1127" ht="11.25" customHeight="1" x14ac:dyDescent="0.3"/>
    <row r="1128" ht="11.25" customHeight="1" x14ac:dyDescent="0.3"/>
    <row r="1129" ht="11.25" customHeight="1" x14ac:dyDescent="0.3"/>
    <row r="1130" ht="11.25" customHeight="1" x14ac:dyDescent="0.3"/>
    <row r="1131" ht="11.25" customHeight="1" x14ac:dyDescent="0.3"/>
    <row r="1132" ht="11.25" customHeight="1" x14ac:dyDescent="0.3"/>
    <row r="1133" ht="11.25" customHeight="1" x14ac:dyDescent="0.3"/>
    <row r="1134" ht="11.25" customHeight="1" x14ac:dyDescent="0.3"/>
    <row r="1135" ht="11.25" customHeight="1" x14ac:dyDescent="0.3"/>
    <row r="1136" ht="11.25" customHeight="1" x14ac:dyDescent="0.3"/>
    <row r="1137" ht="11.25" customHeight="1" x14ac:dyDescent="0.3"/>
    <row r="1138" ht="11.25" customHeight="1" x14ac:dyDescent="0.3"/>
    <row r="1139" ht="11.25" customHeight="1" x14ac:dyDescent="0.3"/>
    <row r="1140" ht="11.25" customHeight="1" x14ac:dyDescent="0.3"/>
    <row r="1141" ht="11.25" customHeight="1" x14ac:dyDescent="0.3"/>
    <row r="1142" ht="11.25" customHeight="1" x14ac:dyDescent="0.3"/>
    <row r="1143" ht="11.25" customHeight="1" x14ac:dyDescent="0.3"/>
    <row r="1144" ht="11.25" customHeight="1" x14ac:dyDescent="0.3"/>
    <row r="1145" ht="11.25" customHeight="1" x14ac:dyDescent="0.3"/>
    <row r="1146" ht="11.25" customHeight="1" x14ac:dyDescent="0.3"/>
    <row r="1147" ht="11.25" customHeight="1" x14ac:dyDescent="0.3"/>
    <row r="1148" ht="11.25" customHeight="1" x14ac:dyDescent="0.3"/>
    <row r="1149" ht="11.25" customHeight="1" x14ac:dyDescent="0.3"/>
    <row r="1150" ht="11.25" customHeight="1" x14ac:dyDescent="0.3"/>
    <row r="1151" ht="11.25" customHeight="1" x14ac:dyDescent="0.3"/>
    <row r="1152" ht="11.25" customHeight="1" x14ac:dyDescent="0.3"/>
    <row r="1153" ht="11.25" customHeight="1" x14ac:dyDescent="0.3"/>
    <row r="1154" ht="11.25" customHeight="1" x14ac:dyDescent="0.3"/>
    <row r="1155" ht="11.25" customHeight="1" x14ac:dyDescent="0.3"/>
    <row r="1156" ht="11.25" customHeight="1" x14ac:dyDescent="0.3"/>
    <row r="1157" ht="11.25" customHeight="1" x14ac:dyDescent="0.3"/>
    <row r="1158" ht="11.25" customHeight="1" x14ac:dyDescent="0.3"/>
    <row r="1159" ht="11.25" customHeight="1" x14ac:dyDescent="0.3"/>
    <row r="1160" ht="11.25" customHeight="1" x14ac:dyDescent="0.3"/>
    <row r="1161" ht="11.25" customHeight="1" x14ac:dyDescent="0.3"/>
    <row r="1162" ht="11.25" customHeight="1" x14ac:dyDescent="0.3"/>
    <row r="1163" ht="11.25" customHeight="1" x14ac:dyDescent="0.3"/>
    <row r="1164" ht="11.25" customHeight="1" x14ac:dyDescent="0.3"/>
    <row r="1165" ht="11.25" customHeight="1" x14ac:dyDescent="0.3"/>
    <row r="1166" ht="11.25" customHeight="1" x14ac:dyDescent="0.3"/>
    <row r="1167" ht="11.25" customHeight="1" x14ac:dyDescent="0.3"/>
    <row r="1168" ht="11.25" customHeight="1" x14ac:dyDescent="0.3"/>
    <row r="1169" ht="11.25" customHeight="1" x14ac:dyDescent="0.3"/>
    <row r="1170" ht="11.25" customHeight="1" x14ac:dyDescent="0.3"/>
    <row r="1171" ht="11.25" customHeight="1" x14ac:dyDescent="0.3"/>
    <row r="1172" ht="11.25" customHeight="1" x14ac:dyDescent="0.3"/>
    <row r="1173" ht="11.25" customHeight="1" x14ac:dyDescent="0.3"/>
    <row r="1174" ht="11.25" customHeight="1" x14ac:dyDescent="0.3"/>
    <row r="1175" ht="11.25" customHeight="1" x14ac:dyDescent="0.3"/>
    <row r="1176" ht="11.25" customHeight="1" x14ac:dyDescent="0.3"/>
    <row r="1177" ht="11.25" customHeight="1" x14ac:dyDescent="0.3"/>
    <row r="1178" ht="11.25" customHeight="1" x14ac:dyDescent="0.3"/>
    <row r="1179" ht="11.25" customHeight="1" x14ac:dyDescent="0.3"/>
    <row r="1180" ht="11.25" customHeight="1" x14ac:dyDescent="0.3"/>
    <row r="1181" ht="11.25" customHeight="1" x14ac:dyDescent="0.3"/>
    <row r="1182" ht="11.25" customHeight="1" x14ac:dyDescent="0.3"/>
    <row r="1183" ht="11.25" customHeight="1" x14ac:dyDescent="0.3"/>
    <row r="1184" ht="11.25" customHeight="1" x14ac:dyDescent="0.3"/>
    <row r="1185" ht="11.25" customHeight="1" x14ac:dyDescent="0.3"/>
    <row r="1186" ht="11.25" customHeight="1" x14ac:dyDescent="0.3"/>
    <row r="1187" ht="11.25" customHeight="1" x14ac:dyDescent="0.3"/>
    <row r="1188" ht="11.25" customHeight="1" x14ac:dyDescent="0.3"/>
    <row r="1189" ht="11.25" customHeight="1" x14ac:dyDescent="0.3"/>
    <row r="1190" ht="11.25" customHeight="1" x14ac:dyDescent="0.3"/>
    <row r="1191" ht="11.25" customHeight="1" x14ac:dyDescent="0.3"/>
    <row r="1192" ht="11.25" customHeight="1" x14ac:dyDescent="0.3"/>
    <row r="1193" ht="11.25" customHeight="1" x14ac:dyDescent="0.3"/>
    <row r="1194" ht="11.25" customHeight="1" x14ac:dyDescent="0.3"/>
    <row r="1195" ht="11.25" customHeight="1" x14ac:dyDescent="0.3"/>
    <row r="1196" ht="11.25" customHeight="1" x14ac:dyDescent="0.3"/>
    <row r="1197" ht="11.25" customHeight="1" x14ac:dyDescent="0.3"/>
    <row r="1198" ht="11.25" customHeight="1" x14ac:dyDescent="0.3"/>
    <row r="1199" ht="11.25" customHeight="1" x14ac:dyDescent="0.3"/>
    <row r="1200" ht="11.25" customHeight="1" x14ac:dyDescent="0.3"/>
    <row r="1201" ht="11.25" customHeight="1" x14ac:dyDescent="0.3"/>
    <row r="1202" ht="11.25" customHeight="1" x14ac:dyDescent="0.3"/>
    <row r="1203" ht="11.25" customHeight="1" x14ac:dyDescent="0.3"/>
    <row r="1204" ht="11.25" customHeight="1" x14ac:dyDescent="0.3"/>
    <row r="1205" ht="11.25" customHeight="1" x14ac:dyDescent="0.3"/>
    <row r="1206" ht="11.25" customHeight="1" x14ac:dyDescent="0.3"/>
    <row r="1207" ht="11.25" customHeight="1" x14ac:dyDescent="0.3"/>
    <row r="1208" ht="11.25" customHeight="1" x14ac:dyDescent="0.3"/>
    <row r="1209" ht="11.25" customHeight="1" x14ac:dyDescent="0.3"/>
    <row r="1210" ht="11.25" customHeight="1" x14ac:dyDescent="0.3"/>
    <row r="1211" ht="11.25" customHeight="1" x14ac:dyDescent="0.3"/>
    <row r="1212" ht="11.25" customHeight="1" x14ac:dyDescent="0.3"/>
    <row r="1213" ht="11.25" customHeight="1" x14ac:dyDescent="0.3"/>
    <row r="1214" ht="11.25" customHeight="1" x14ac:dyDescent="0.3"/>
    <row r="1215" ht="11.25" customHeight="1" x14ac:dyDescent="0.3"/>
    <row r="1216" ht="11.25" customHeight="1" x14ac:dyDescent="0.3"/>
    <row r="1217" ht="11.25" customHeight="1" x14ac:dyDescent="0.3"/>
    <row r="1218" ht="11.25" customHeight="1" x14ac:dyDescent="0.3"/>
    <row r="1219" ht="11.25" customHeight="1" x14ac:dyDescent="0.3"/>
    <row r="1220" ht="11.25" customHeight="1" x14ac:dyDescent="0.3"/>
    <row r="1221" ht="11.25" customHeight="1" x14ac:dyDescent="0.3"/>
    <row r="1222" ht="11.25" customHeight="1" x14ac:dyDescent="0.3"/>
    <row r="1223" ht="11.25" customHeight="1" x14ac:dyDescent="0.3"/>
    <row r="1224" ht="11.25" customHeight="1" x14ac:dyDescent="0.3"/>
    <row r="1225" ht="11.25" customHeight="1" x14ac:dyDescent="0.3"/>
    <row r="1226" ht="11.25" customHeight="1" x14ac:dyDescent="0.3"/>
    <row r="1227" ht="11.25" customHeight="1" x14ac:dyDescent="0.3"/>
    <row r="1228" ht="11.25" customHeight="1" x14ac:dyDescent="0.3"/>
    <row r="1229" ht="11.25" customHeight="1" x14ac:dyDescent="0.3"/>
    <row r="1230" ht="11.25" customHeight="1" x14ac:dyDescent="0.3"/>
    <row r="1231" ht="11.25" customHeight="1" x14ac:dyDescent="0.3"/>
    <row r="1232" ht="11.25" customHeight="1" x14ac:dyDescent="0.3"/>
    <row r="1233" ht="11.25" customHeight="1" x14ac:dyDescent="0.3"/>
    <row r="1234" ht="11.25" customHeight="1" x14ac:dyDescent="0.3"/>
    <row r="1235" ht="11.25" customHeight="1" x14ac:dyDescent="0.3"/>
    <row r="1236" ht="11.25" customHeight="1" x14ac:dyDescent="0.3"/>
    <row r="1237" ht="11.25" customHeight="1" x14ac:dyDescent="0.3"/>
    <row r="1238" ht="11.25" customHeight="1" x14ac:dyDescent="0.3"/>
    <row r="1239" ht="11.25" customHeight="1" x14ac:dyDescent="0.3"/>
    <row r="1240" ht="11.25" customHeight="1" x14ac:dyDescent="0.3"/>
    <row r="1241" ht="11.25" customHeight="1" x14ac:dyDescent="0.3"/>
    <row r="1242" ht="11.25" customHeight="1" x14ac:dyDescent="0.3"/>
    <row r="1243" ht="11.25" customHeight="1" x14ac:dyDescent="0.3"/>
    <row r="1244" ht="11.25" customHeight="1" x14ac:dyDescent="0.3"/>
    <row r="1245" ht="11.25" customHeight="1" x14ac:dyDescent="0.3"/>
    <row r="1246" ht="11.25" customHeight="1" x14ac:dyDescent="0.3"/>
    <row r="1247" ht="11.25" customHeight="1" x14ac:dyDescent="0.3"/>
    <row r="1248" ht="11.25" customHeight="1" x14ac:dyDescent="0.3"/>
    <row r="1249" ht="11.25" customHeight="1" x14ac:dyDescent="0.3"/>
    <row r="1250" ht="11.25" customHeight="1" x14ac:dyDescent="0.3"/>
    <row r="1251" ht="11.25" customHeight="1" x14ac:dyDescent="0.3"/>
    <row r="1252" ht="11.25" customHeight="1" x14ac:dyDescent="0.3"/>
    <row r="1253" ht="11.25" customHeight="1" x14ac:dyDescent="0.3"/>
    <row r="1254" ht="11.25" customHeight="1" x14ac:dyDescent="0.3"/>
    <row r="1255" ht="11.25" customHeight="1" x14ac:dyDescent="0.3"/>
    <row r="1256" ht="11.25" customHeight="1" x14ac:dyDescent="0.3"/>
    <row r="1257" ht="11.25" customHeight="1" x14ac:dyDescent="0.3"/>
    <row r="1258" ht="11.25" customHeight="1" x14ac:dyDescent="0.3"/>
    <row r="1259" ht="11.25" customHeight="1" x14ac:dyDescent="0.3"/>
    <row r="1260" ht="11.25" customHeight="1" x14ac:dyDescent="0.3"/>
    <row r="1261" ht="11.25" customHeight="1" x14ac:dyDescent="0.3"/>
    <row r="1262" ht="11.25" customHeight="1" x14ac:dyDescent="0.3"/>
    <row r="1263" ht="11.25" customHeight="1" x14ac:dyDescent="0.3"/>
    <row r="1264" ht="11.25" customHeight="1" x14ac:dyDescent="0.3"/>
    <row r="1265" ht="11.25" customHeight="1" x14ac:dyDescent="0.3"/>
    <row r="1266" ht="11.25" customHeight="1" x14ac:dyDescent="0.3"/>
    <row r="1267" ht="11.25" customHeight="1" x14ac:dyDescent="0.3"/>
    <row r="1268" ht="11.25" customHeight="1" x14ac:dyDescent="0.3"/>
    <row r="1269" ht="11.25" customHeight="1" x14ac:dyDescent="0.3"/>
    <row r="1270" ht="11.25" customHeight="1" x14ac:dyDescent="0.3"/>
    <row r="1271" ht="11.25" customHeight="1" x14ac:dyDescent="0.3"/>
    <row r="1272" ht="11.25" customHeight="1" x14ac:dyDescent="0.3"/>
    <row r="1273" ht="11.25" customHeight="1" x14ac:dyDescent="0.3"/>
    <row r="1274" ht="11.25" customHeight="1" x14ac:dyDescent="0.3"/>
    <row r="1275" ht="11.25" customHeight="1" x14ac:dyDescent="0.3"/>
    <row r="1276" ht="11.25" customHeight="1" x14ac:dyDescent="0.3"/>
    <row r="1277" ht="11.25" customHeight="1" x14ac:dyDescent="0.3"/>
    <row r="1278" ht="11.25" customHeight="1" x14ac:dyDescent="0.3"/>
    <row r="1279" ht="11.25" customHeight="1" x14ac:dyDescent="0.3"/>
    <row r="1280" ht="11.25" customHeight="1" x14ac:dyDescent="0.3"/>
    <row r="1281" ht="11.25" customHeight="1" x14ac:dyDescent="0.3"/>
    <row r="1282" ht="11.25" customHeight="1" x14ac:dyDescent="0.3"/>
  </sheetData>
  <mergeCells count="302">
    <mergeCell ref="P40:AJ40"/>
    <mergeCell ref="AK40:AO40"/>
    <mergeCell ref="AP40:AR40"/>
    <mergeCell ref="AS40:AZ40"/>
    <mergeCell ref="A41:E41"/>
    <mergeCell ref="F41:J41"/>
    <mergeCell ref="K41:O41"/>
    <mergeCell ref="P41:AJ41"/>
    <mergeCell ref="AK41:AO41"/>
    <mergeCell ref="AP41:AR41"/>
    <mergeCell ref="AS41:AZ41"/>
    <mergeCell ref="AS37:AZ37"/>
    <mergeCell ref="A38:E38"/>
    <mergeCell ref="F38:J38"/>
    <mergeCell ref="K38:O38"/>
    <mergeCell ref="P38:AJ38"/>
    <mergeCell ref="AK38:AO38"/>
    <mergeCell ref="AP38:AR38"/>
    <mergeCell ref="AS38:AZ38"/>
    <mergeCell ref="A39:E39"/>
    <mergeCell ref="F39:J39"/>
    <mergeCell ref="K39:O39"/>
    <mergeCell ref="P39:AJ39"/>
    <mergeCell ref="AK39:AO39"/>
    <mergeCell ref="AP39:AR39"/>
    <mergeCell ref="AS39:AZ39"/>
    <mergeCell ref="AS33:AZ33"/>
    <mergeCell ref="A34:E34"/>
    <mergeCell ref="F34:J34"/>
    <mergeCell ref="K34:O34"/>
    <mergeCell ref="P34:AJ34"/>
    <mergeCell ref="AK34:AO34"/>
    <mergeCell ref="AP34:AR34"/>
    <mergeCell ref="AS34:AZ34"/>
    <mergeCell ref="P36:AJ36"/>
    <mergeCell ref="AK36:AO36"/>
    <mergeCell ref="AP36:AR36"/>
    <mergeCell ref="AS36:AZ36"/>
    <mergeCell ref="A30:E30"/>
    <mergeCell ref="F30:J30"/>
    <mergeCell ref="K30:O30"/>
    <mergeCell ref="P30:AJ30"/>
    <mergeCell ref="AK30:AO30"/>
    <mergeCell ref="AP30:AR30"/>
    <mergeCell ref="AS30:AZ30"/>
    <mergeCell ref="A31:E31"/>
    <mergeCell ref="F31:J31"/>
    <mergeCell ref="K31:O31"/>
    <mergeCell ref="P31:AJ31"/>
    <mergeCell ref="AK31:AO31"/>
    <mergeCell ref="AP31:AR31"/>
    <mergeCell ref="AS31:AZ31"/>
    <mergeCell ref="A28:E28"/>
    <mergeCell ref="F28:J28"/>
    <mergeCell ref="K28:O28"/>
    <mergeCell ref="P28:AJ28"/>
    <mergeCell ref="AK28:AO28"/>
    <mergeCell ref="AP28:AR28"/>
    <mergeCell ref="AS28:AZ28"/>
    <mergeCell ref="A29:E29"/>
    <mergeCell ref="F29:J29"/>
    <mergeCell ref="K29:O29"/>
    <mergeCell ref="P29:AJ29"/>
    <mergeCell ref="AK29:AO29"/>
    <mergeCell ref="AP29:AR29"/>
    <mergeCell ref="AS29:AZ29"/>
    <mergeCell ref="A26:E26"/>
    <mergeCell ref="F26:J26"/>
    <mergeCell ref="K26:O26"/>
    <mergeCell ref="P26:AJ26"/>
    <mergeCell ref="AK26:AO26"/>
    <mergeCell ref="AP26:AR26"/>
    <mergeCell ref="AS26:AZ26"/>
    <mergeCell ref="A27:E27"/>
    <mergeCell ref="F27:J27"/>
    <mergeCell ref="K27:O27"/>
    <mergeCell ref="P27:AJ27"/>
    <mergeCell ref="AK27:AO27"/>
    <mergeCell ref="AP27:AR27"/>
    <mergeCell ref="AS27:AZ27"/>
    <mergeCell ref="A24:E24"/>
    <mergeCell ref="F24:J24"/>
    <mergeCell ref="K24:O24"/>
    <mergeCell ref="P24:AJ24"/>
    <mergeCell ref="AK24:AO24"/>
    <mergeCell ref="AP24:AR24"/>
    <mergeCell ref="AS24:AZ24"/>
    <mergeCell ref="A25:E25"/>
    <mergeCell ref="F25:J25"/>
    <mergeCell ref="K25:O25"/>
    <mergeCell ref="P25:AJ25"/>
    <mergeCell ref="AK25:AO25"/>
    <mergeCell ref="AP25:AR25"/>
    <mergeCell ref="AS25:AZ25"/>
    <mergeCell ref="A43:E43"/>
    <mergeCell ref="F43:J43"/>
    <mergeCell ref="K43:O43"/>
    <mergeCell ref="P43:AJ43"/>
    <mergeCell ref="AK43:AO43"/>
    <mergeCell ref="AP43:AR43"/>
    <mergeCell ref="AS43:AZ43"/>
    <mergeCell ref="P47:AJ47"/>
    <mergeCell ref="AK47:AO47"/>
    <mergeCell ref="AP47:AR47"/>
    <mergeCell ref="AS47:AZ47"/>
    <mergeCell ref="A44:E44"/>
    <mergeCell ref="F44:J44"/>
    <mergeCell ref="K44:O44"/>
    <mergeCell ref="P44:AJ44"/>
    <mergeCell ref="AK44:AO44"/>
    <mergeCell ref="AP44:AR44"/>
    <mergeCell ref="AS44:AZ44"/>
    <mergeCell ref="A45:E45"/>
    <mergeCell ref="F45:J45"/>
    <mergeCell ref="K45:O45"/>
    <mergeCell ref="P45:AJ45"/>
    <mergeCell ref="AK45:AO45"/>
    <mergeCell ref="AP45:AR45"/>
    <mergeCell ref="AS45:AZ45"/>
    <mergeCell ref="AS52:AZ52"/>
    <mergeCell ref="AS53:AZ53"/>
    <mergeCell ref="A54:E54"/>
    <mergeCell ref="F54:J54"/>
    <mergeCell ref="K54:O54"/>
    <mergeCell ref="P54:AJ54"/>
    <mergeCell ref="AK54:AO54"/>
    <mergeCell ref="AS54:AZ54"/>
    <mergeCell ref="AP48:AR48"/>
    <mergeCell ref="AS48:AZ48"/>
    <mergeCell ref="A50:E50"/>
    <mergeCell ref="F50:J50"/>
    <mergeCell ref="K50:O50"/>
    <mergeCell ref="P50:AJ50"/>
    <mergeCell ref="AK50:AO50"/>
    <mergeCell ref="AP50:AR50"/>
    <mergeCell ref="AS50:AZ50"/>
    <mergeCell ref="AS51:AZ51"/>
    <mergeCell ref="A48:E48"/>
    <mergeCell ref="F48:J48"/>
    <mergeCell ref="K48:O48"/>
    <mergeCell ref="P48:AJ48"/>
    <mergeCell ref="AK48:AO48"/>
    <mergeCell ref="A74:L74"/>
    <mergeCell ref="M74:O74"/>
    <mergeCell ref="P74:R74"/>
    <mergeCell ref="A75:AS75"/>
    <mergeCell ref="A76:S76"/>
    <mergeCell ref="AL67:AR67"/>
    <mergeCell ref="AS67:AZ67"/>
    <mergeCell ref="AL68:AR68"/>
    <mergeCell ref="AS68:AZ68"/>
    <mergeCell ref="A70:AS70"/>
    <mergeCell ref="A72:AS72"/>
    <mergeCell ref="E63:M63"/>
    <mergeCell ref="R63:AH63"/>
    <mergeCell ref="AK63:AR63"/>
    <mergeCell ref="AS63:AZ63"/>
    <mergeCell ref="AK64:AR64"/>
    <mergeCell ref="M66:AI66"/>
    <mergeCell ref="AL66:AR66"/>
    <mergeCell ref="AS66:AZ66"/>
    <mergeCell ref="AK59:AR59"/>
    <mergeCell ref="AS59:AZ59"/>
    <mergeCell ref="U61:X61"/>
    <mergeCell ref="Y61:AC61"/>
    <mergeCell ref="AK61:AR61"/>
    <mergeCell ref="AS61:AZ61"/>
    <mergeCell ref="AS42:AZ42"/>
    <mergeCell ref="AP54:AR54"/>
    <mergeCell ref="A35:E35"/>
    <mergeCell ref="F35:J35"/>
    <mergeCell ref="K35:O35"/>
    <mergeCell ref="P35:AJ35"/>
    <mergeCell ref="AK35:AO35"/>
    <mergeCell ref="AP35:AR35"/>
    <mergeCell ref="AS35:AZ35"/>
    <mergeCell ref="A36:E36"/>
    <mergeCell ref="F36:J36"/>
    <mergeCell ref="K36:O36"/>
    <mergeCell ref="A53:E53"/>
    <mergeCell ref="F53:J53"/>
    <mergeCell ref="K53:O53"/>
    <mergeCell ref="P53:AJ53"/>
    <mergeCell ref="AK53:AO53"/>
    <mergeCell ref="AP53:AR53"/>
    <mergeCell ref="A52:E52"/>
    <mergeCell ref="F52:J52"/>
    <mergeCell ref="K52:O52"/>
    <mergeCell ref="P52:AJ52"/>
    <mergeCell ref="AK52:AO52"/>
    <mergeCell ref="AP52:AR52"/>
    <mergeCell ref="A32:E32"/>
    <mergeCell ref="F32:J32"/>
    <mergeCell ref="K32:O32"/>
    <mergeCell ref="P32:AJ32"/>
    <mergeCell ref="AK32:AO32"/>
    <mergeCell ref="AP32:AR32"/>
    <mergeCell ref="A42:E42"/>
    <mergeCell ref="F42:J42"/>
    <mergeCell ref="K42:O42"/>
    <mergeCell ref="P42:AJ42"/>
    <mergeCell ref="AK42:AO42"/>
    <mergeCell ref="AP42:AR42"/>
    <mergeCell ref="P33:AJ33"/>
    <mergeCell ref="AK33:AO33"/>
    <mergeCell ref="AP33:AR33"/>
    <mergeCell ref="A37:E37"/>
    <mergeCell ref="F37:J37"/>
    <mergeCell ref="K37:O37"/>
    <mergeCell ref="P37:AJ37"/>
    <mergeCell ref="AK37:AO37"/>
    <mergeCell ref="AP37:AR37"/>
    <mergeCell ref="A40:E40"/>
    <mergeCell ref="F40:J40"/>
    <mergeCell ref="K40:O40"/>
    <mergeCell ref="P46:AJ46"/>
    <mergeCell ref="AK46:AO46"/>
    <mergeCell ref="AP46:AR46"/>
    <mergeCell ref="AS46:AZ46"/>
    <mergeCell ref="A47:E47"/>
    <mergeCell ref="F47:J47"/>
    <mergeCell ref="K47:O47"/>
    <mergeCell ref="A51:E51"/>
    <mergeCell ref="F51:J51"/>
    <mergeCell ref="K51:O51"/>
    <mergeCell ref="P51:AJ51"/>
    <mergeCell ref="AK51:AO51"/>
    <mergeCell ref="AP51:AR51"/>
    <mergeCell ref="AK21:AO23"/>
    <mergeCell ref="AP21:AR23"/>
    <mergeCell ref="AS21:BB23"/>
    <mergeCell ref="A56:E56"/>
    <mergeCell ref="F56:J56"/>
    <mergeCell ref="K56:O56"/>
    <mergeCell ref="P56:AJ56"/>
    <mergeCell ref="AK56:AO56"/>
    <mergeCell ref="AP56:AR56"/>
    <mergeCell ref="AS56:AZ56"/>
    <mergeCell ref="AS32:AZ32"/>
    <mergeCell ref="A33:E33"/>
    <mergeCell ref="F33:J33"/>
    <mergeCell ref="K33:O33"/>
    <mergeCell ref="A49:E49"/>
    <mergeCell ref="F49:J49"/>
    <mergeCell ref="K49:O49"/>
    <mergeCell ref="P49:AJ49"/>
    <mergeCell ref="AK49:AO49"/>
    <mergeCell ref="AP49:AR49"/>
    <mergeCell ref="AS49:AZ49"/>
    <mergeCell ref="A46:E46"/>
    <mergeCell ref="F46:J46"/>
    <mergeCell ref="K46:O46"/>
    <mergeCell ref="A58:E58"/>
    <mergeCell ref="F58:J58"/>
    <mergeCell ref="K58:O58"/>
    <mergeCell ref="P58:AJ58"/>
    <mergeCell ref="AK58:AO58"/>
    <mergeCell ref="AP58:AR58"/>
    <mergeCell ref="AS58:AZ58"/>
    <mergeCell ref="A55:E55"/>
    <mergeCell ref="F55:J55"/>
    <mergeCell ref="K55:O55"/>
    <mergeCell ref="P55:AJ55"/>
    <mergeCell ref="AK55:AO55"/>
    <mergeCell ref="AP55:AR55"/>
    <mergeCell ref="AS55:AZ55"/>
    <mergeCell ref="A57:E57"/>
    <mergeCell ref="F57:J57"/>
    <mergeCell ref="K57:O57"/>
    <mergeCell ref="P57:AJ57"/>
    <mergeCell ref="AK57:AO57"/>
    <mergeCell ref="AP57:AR57"/>
    <mergeCell ref="AS57:AZ57"/>
    <mergeCell ref="E17:M17"/>
    <mergeCell ref="X17:AH17"/>
    <mergeCell ref="E18:F18"/>
    <mergeCell ref="G18:M18"/>
    <mergeCell ref="E19:M19"/>
    <mergeCell ref="A21:E23"/>
    <mergeCell ref="F21:J23"/>
    <mergeCell ref="K21:O23"/>
    <mergeCell ref="P21:AJ23"/>
    <mergeCell ref="A15:M16"/>
    <mergeCell ref="AJ15:AQ15"/>
    <mergeCell ref="AR15:AZ15"/>
    <mergeCell ref="X16:AH16"/>
    <mergeCell ref="AF6:AY6"/>
    <mergeCell ref="AF7:AY7"/>
    <mergeCell ref="AF8:AY8"/>
    <mergeCell ref="AF9:AY9"/>
    <mergeCell ref="AJ10:AN10"/>
    <mergeCell ref="AP10:AT10"/>
    <mergeCell ref="A1:E1"/>
    <mergeCell ref="L1:AA2"/>
    <mergeCell ref="AF1:AP2"/>
    <mergeCell ref="AQ1:AY2"/>
    <mergeCell ref="AF3:AY4"/>
    <mergeCell ref="AF5:AY5"/>
    <mergeCell ref="AF11:AY11"/>
    <mergeCell ref="O12:AB14"/>
    <mergeCell ref="AJ12:AN12"/>
    <mergeCell ref="AP12:AT12"/>
  </mergeCells>
  <phoneticPr fontId="26" type="noConversion"/>
  <hyperlinks>
    <hyperlink ref="L10" r:id="rId1" xr:uid="{00000000-0004-0000-0000-000000000000}"/>
  </hyperlinks>
  <pageMargins left="0.17708333333333334" right="0.23958333333333334" top="0.75" bottom="0.75" header="0.3" footer="0.3"/>
  <pageSetup orientation="portrait" horizontalDpi="360" verticalDpi="36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BW1283"/>
  <sheetViews>
    <sheetView tabSelected="1" showWhiteSpace="0" zoomScale="120" zoomScaleNormal="120" workbookViewId="0">
      <selection activeCell="BW28" sqref="BW28"/>
    </sheetView>
  </sheetViews>
  <sheetFormatPr baseColWidth="10" defaultColWidth="2" defaultRowHeight="8.4" customHeight="1" x14ac:dyDescent="0.3"/>
  <cols>
    <col min="1" max="1" width="3.44140625" style="1" bestFit="1" customWidth="1"/>
    <col min="2" max="9" width="2" style="1"/>
    <col min="10" max="10" width="3" style="1" customWidth="1"/>
    <col min="11" max="16" width="2" style="1"/>
    <col min="17" max="33" width="1.5546875" style="1" customWidth="1"/>
    <col min="34" max="34" width="0.109375" style="1" customWidth="1"/>
    <col min="35" max="35" width="1.5546875" style="1" hidden="1" customWidth="1"/>
    <col min="36" max="36" width="0.5546875" style="1" hidden="1" customWidth="1"/>
    <col min="37" max="40" width="2" style="16"/>
    <col min="41" max="41" width="4.6640625" style="16" customWidth="1"/>
    <col min="42" max="43" width="2" style="1"/>
    <col min="44" max="44" width="4.88671875" style="1" customWidth="1"/>
    <col min="45" max="45" width="5.5546875" style="1" bestFit="1" customWidth="1"/>
    <col min="46" max="46" width="2" style="1"/>
    <col min="47" max="47" width="1.5546875" style="1" customWidth="1"/>
    <col min="48" max="48" width="2.5546875" style="1" customWidth="1"/>
    <col min="49" max="49" width="2" style="1"/>
    <col min="50" max="50" width="1" style="1" customWidth="1"/>
    <col min="51" max="51" width="1.33203125" style="1" customWidth="1"/>
    <col min="52" max="52" width="3.44140625" style="1" customWidth="1"/>
    <col min="53" max="53" width="2" style="1"/>
    <col min="54" max="54" width="4.88671875" style="1" bestFit="1" customWidth="1"/>
    <col min="55" max="16384" width="2" style="1"/>
  </cols>
  <sheetData>
    <row r="1" spans="1:52" ht="8.4" customHeight="1" thickTop="1" x14ac:dyDescent="0.3">
      <c r="A1" s="61"/>
      <c r="B1" s="61"/>
      <c r="C1" s="61"/>
      <c r="D1" s="61"/>
      <c r="E1" s="61"/>
      <c r="L1" s="62" t="s">
        <v>0</v>
      </c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2"/>
      <c r="AC1" s="2"/>
      <c r="AD1" s="2"/>
      <c r="AE1" s="3"/>
      <c r="AF1" s="196" t="s">
        <v>1</v>
      </c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8" t="s">
        <v>91</v>
      </c>
      <c r="AR1" s="198"/>
      <c r="AS1" s="198"/>
      <c r="AT1" s="198"/>
      <c r="AU1" s="198"/>
      <c r="AV1" s="198"/>
      <c r="AW1" s="198"/>
      <c r="AX1" s="198"/>
      <c r="AY1" s="199"/>
    </row>
    <row r="2" spans="1:52" ht="8.4" customHeight="1" x14ac:dyDescent="0.3"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2"/>
      <c r="AC2" s="2"/>
      <c r="AD2" s="2"/>
      <c r="AE2" s="2"/>
      <c r="AF2" s="193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9"/>
      <c r="AR2" s="69"/>
      <c r="AS2" s="69"/>
      <c r="AT2" s="69"/>
      <c r="AU2" s="69"/>
      <c r="AV2" s="69"/>
      <c r="AW2" s="69"/>
      <c r="AX2" s="69"/>
      <c r="AY2" s="200"/>
    </row>
    <row r="3" spans="1:52" ht="8.4" customHeight="1" x14ac:dyDescent="0.3">
      <c r="K3" s="4"/>
      <c r="L3" s="3" t="s">
        <v>2</v>
      </c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01" t="s">
        <v>3</v>
      </c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202"/>
    </row>
    <row r="4" spans="1:52" ht="8.4" customHeight="1" x14ac:dyDescent="0.3">
      <c r="L4" s="5" t="s">
        <v>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01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202"/>
    </row>
    <row r="5" spans="1:52" ht="8.25" hidden="1" customHeight="1" x14ac:dyDescent="0.3">
      <c r="L5" s="2" t="s">
        <v>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6"/>
      <c r="AF5" s="187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188"/>
    </row>
    <row r="6" spans="1:52" ht="8.4" customHeight="1" x14ac:dyDescent="0.3">
      <c r="L6" s="2" t="s">
        <v>6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191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192"/>
    </row>
    <row r="7" spans="1:52" ht="8.4" customHeight="1" x14ac:dyDescent="0.3">
      <c r="L7" s="2" t="s">
        <v>7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6"/>
      <c r="AF7" s="193" t="s">
        <v>8</v>
      </c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194"/>
    </row>
    <row r="8" spans="1:52" ht="8.4" customHeight="1" x14ac:dyDescent="0.3">
      <c r="L8" s="2" t="s">
        <v>9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191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192"/>
    </row>
    <row r="9" spans="1:52" ht="8.4" customHeight="1" x14ac:dyDescent="0.3">
      <c r="L9" s="2" t="s">
        <v>10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187" t="s">
        <v>11</v>
      </c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188"/>
    </row>
    <row r="10" spans="1:52" ht="10.5" customHeight="1" x14ac:dyDescent="0.3">
      <c r="L10" s="7" t="s">
        <v>12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8"/>
      <c r="AG10" s="9"/>
      <c r="AH10" s="9"/>
      <c r="AI10" s="2"/>
      <c r="AJ10" s="203">
        <v>46029</v>
      </c>
      <c r="AK10" s="203"/>
      <c r="AL10" s="203"/>
      <c r="AM10" s="203"/>
      <c r="AN10" s="203"/>
      <c r="AO10" s="203"/>
      <c r="AP10" s="195">
        <v>0.3125</v>
      </c>
      <c r="AQ10" s="195"/>
      <c r="AR10" s="195"/>
      <c r="AS10" s="195"/>
      <c r="AT10" s="195"/>
      <c r="AU10" s="10"/>
      <c r="AV10" s="2"/>
      <c r="AW10" s="2"/>
      <c r="AX10" s="2"/>
      <c r="AY10" s="11"/>
    </row>
    <row r="11" spans="1:52" ht="8.4" customHeight="1" x14ac:dyDescent="0.3"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187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188"/>
    </row>
    <row r="12" spans="1:52" ht="8.4" customHeight="1" x14ac:dyDescent="0.3">
      <c r="O12" s="77" t="s">
        <v>13</v>
      </c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F12" s="8"/>
      <c r="AG12" s="9"/>
      <c r="AH12" s="9"/>
      <c r="AI12" s="2"/>
      <c r="AJ12" s="189">
        <f>AJ10</f>
        <v>46029</v>
      </c>
      <c r="AK12" s="189"/>
      <c r="AL12" s="189"/>
      <c r="AM12" s="189"/>
      <c r="AN12" s="189"/>
      <c r="AO12" s="189"/>
      <c r="AP12" s="79">
        <v>0.375</v>
      </c>
      <c r="AQ12" s="79"/>
      <c r="AR12" s="79"/>
      <c r="AS12" s="79"/>
      <c r="AT12" s="79"/>
      <c r="AU12" s="10"/>
      <c r="AV12" s="2"/>
      <c r="AW12" s="2"/>
      <c r="AX12" s="2"/>
      <c r="AY12" s="11"/>
    </row>
    <row r="13" spans="1:52" ht="8.4" customHeight="1" thickBot="1" x14ac:dyDescent="0.35"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F13" s="12"/>
      <c r="AG13" s="13"/>
      <c r="AH13" s="13"/>
      <c r="AI13" s="13"/>
      <c r="AJ13" s="13"/>
      <c r="AK13" s="14"/>
      <c r="AL13" s="14"/>
      <c r="AM13" s="14"/>
      <c r="AN13" s="14"/>
      <c r="AO13" s="14"/>
      <c r="AP13" s="13"/>
      <c r="AQ13" s="13"/>
      <c r="AR13" s="13"/>
      <c r="AS13" s="13"/>
      <c r="AT13" s="13"/>
      <c r="AU13" s="13"/>
      <c r="AV13" s="13"/>
      <c r="AW13" s="13"/>
      <c r="AX13" s="13"/>
      <c r="AY13" s="15"/>
    </row>
    <row r="14" spans="1:52" ht="8.4" customHeight="1" thickTop="1" x14ac:dyDescent="0.3"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</row>
    <row r="15" spans="1:52" s="19" customFormat="1" ht="11.25" customHeight="1" x14ac:dyDescent="0.3">
      <c r="A15" s="80" t="s">
        <v>14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17"/>
      <c r="O15" s="18"/>
      <c r="Q15" s="20"/>
      <c r="R15" s="20"/>
      <c r="S15" s="20"/>
      <c r="T15" s="20"/>
      <c r="U15" s="20"/>
      <c r="Y15" s="20"/>
      <c r="AA15" s="20"/>
      <c r="AB15" s="20"/>
      <c r="AC15" s="20"/>
      <c r="AD15" s="20"/>
      <c r="AE15" s="20"/>
      <c r="AF15" s="20"/>
      <c r="AG15" s="20"/>
      <c r="AH15" s="20"/>
      <c r="AI15" s="20"/>
      <c r="AJ15" s="81" t="s">
        <v>15</v>
      </c>
      <c r="AK15" s="81"/>
      <c r="AL15" s="81"/>
      <c r="AM15" s="81"/>
      <c r="AN15" s="81"/>
      <c r="AO15" s="81"/>
      <c r="AP15" s="81"/>
      <c r="AQ15" s="81"/>
      <c r="AR15" s="82">
        <f>AJ12</f>
        <v>46029</v>
      </c>
      <c r="AS15" s="82"/>
      <c r="AT15" s="82"/>
      <c r="AU15" s="82"/>
      <c r="AV15" s="82"/>
      <c r="AW15" s="82"/>
      <c r="AX15" s="82"/>
      <c r="AY15" s="82"/>
      <c r="AZ15" s="82"/>
    </row>
    <row r="16" spans="1:52" s="19" customFormat="1" ht="11.25" customHeight="1" x14ac:dyDescent="0.3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17"/>
      <c r="O16" s="21" t="s">
        <v>16</v>
      </c>
      <c r="Q16" s="20"/>
      <c r="R16" s="20"/>
      <c r="S16" s="20"/>
      <c r="T16" s="20"/>
      <c r="U16" s="20"/>
      <c r="X16" s="83" t="s">
        <v>17</v>
      </c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20"/>
      <c r="AJ16" s="20"/>
      <c r="AK16" s="22"/>
      <c r="AL16" s="23"/>
      <c r="AM16" s="23"/>
      <c r="AN16" s="23"/>
      <c r="AO16" s="23"/>
      <c r="AP16" s="20"/>
      <c r="AQ16" s="20"/>
      <c r="AS16" s="20"/>
      <c r="AU16" s="20"/>
      <c r="AV16" s="20"/>
      <c r="AW16" s="20"/>
      <c r="AX16" s="20"/>
      <c r="AY16" s="20"/>
    </row>
    <row r="17" spans="1:75" s="19" customFormat="1" ht="11.25" customHeight="1" x14ac:dyDescent="0.3">
      <c r="A17" s="18" t="s">
        <v>18</v>
      </c>
      <c r="B17" s="20"/>
      <c r="C17" s="20"/>
      <c r="D17" s="20"/>
      <c r="E17" s="90" t="s">
        <v>2</v>
      </c>
      <c r="F17" s="90"/>
      <c r="G17" s="90"/>
      <c r="H17" s="90"/>
      <c r="I17" s="90"/>
      <c r="J17" s="90"/>
      <c r="K17" s="90"/>
      <c r="L17" s="90"/>
      <c r="M17" s="90"/>
      <c r="N17" s="20"/>
      <c r="O17" s="18"/>
      <c r="Q17" s="20"/>
      <c r="R17" s="20"/>
      <c r="S17" s="20"/>
      <c r="T17" s="20"/>
      <c r="U17" s="20"/>
      <c r="W17" s="20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20"/>
      <c r="AJ17" s="20"/>
      <c r="AK17" s="22"/>
      <c r="AL17" s="23"/>
      <c r="AM17" s="23"/>
      <c r="AN17" s="23"/>
      <c r="AO17" s="23"/>
      <c r="AP17" s="20"/>
      <c r="AQ17" s="20"/>
      <c r="AS17" s="24"/>
      <c r="AT17" s="24"/>
      <c r="AU17" s="24"/>
      <c r="AV17" s="24"/>
      <c r="AW17" s="20"/>
      <c r="AX17" s="20"/>
      <c r="AY17" s="20"/>
    </row>
    <row r="18" spans="1:75" s="19" customFormat="1" ht="11.25" customHeight="1" x14ac:dyDescent="0.3">
      <c r="A18" s="18"/>
      <c r="B18" s="20"/>
      <c r="C18" s="20"/>
      <c r="D18" s="20"/>
      <c r="E18" s="90"/>
      <c r="F18" s="90"/>
      <c r="G18" s="90"/>
      <c r="H18" s="90"/>
      <c r="I18" s="90"/>
      <c r="J18" s="90"/>
      <c r="K18" s="90"/>
      <c r="L18" s="90"/>
      <c r="M18" s="90"/>
      <c r="N18" s="20"/>
      <c r="O18" s="18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4"/>
      <c r="AL18" s="24"/>
      <c r="AM18" s="24"/>
      <c r="AN18" s="24"/>
      <c r="AO18" s="24"/>
      <c r="AP18" s="20"/>
      <c r="AQ18" s="20"/>
      <c r="AR18" s="20"/>
      <c r="AS18" s="20"/>
      <c r="AT18" s="20"/>
      <c r="AU18" s="20"/>
      <c r="AV18" s="20"/>
      <c r="AW18" s="20"/>
      <c r="AX18" s="20"/>
      <c r="AY18" s="20"/>
    </row>
    <row r="19" spans="1:75" s="19" customFormat="1" ht="11.25" customHeight="1" x14ac:dyDescent="0.3">
      <c r="A19" s="20"/>
      <c r="B19" s="20"/>
      <c r="C19" s="20"/>
      <c r="D19" s="20"/>
      <c r="E19" s="90"/>
      <c r="F19" s="90"/>
      <c r="G19" s="90"/>
      <c r="H19" s="90"/>
      <c r="I19" s="90"/>
      <c r="J19" s="90"/>
      <c r="K19" s="90"/>
      <c r="L19" s="90"/>
      <c r="M19" s="90"/>
      <c r="N19" s="20"/>
      <c r="O19" s="20"/>
      <c r="P19" s="20" t="s">
        <v>35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4"/>
      <c r="AL19" s="24"/>
      <c r="AM19" s="24"/>
      <c r="AN19" s="24"/>
      <c r="AO19" s="24"/>
      <c r="AP19" s="20"/>
      <c r="AQ19" s="20"/>
      <c r="AR19" s="20"/>
      <c r="AS19" s="20"/>
      <c r="AT19" s="20"/>
      <c r="AU19" s="20"/>
      <c r="AV19" s="20"/>
      <c r="AW19" s="20"/>
      <c r="AX19" s="20"/>
      <c r="AY19" s="20"/>
    </row>
    <row r="20" spans="1:75" s="19" customFormat="1" ht="11.25" customHeight="1" x14ac:dyDescent="0.3"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K20" s="23"/>
      <c r="AL20" s="23"/>
      <c r="AM20" s="23"/>
      <c r="AN20" s="23"/>
      <c r="AO20" s="23"/>
    </row>
    <row r="21" spans="1:75" s="19" customFormat="1" ht="11.25" customHeight="1" x14ac:dyDescent="0.3">
      <c r="A21" s="180" t="s">
        <v>19</v>
      </c>
      <c r="B21" s="180"/>
      <c r="C21" s="180"/>
      <c r="D21" s="180"/>
      <c r="E21" s="180"/>
      <c r="F21" s="92" t="s">
        <v>20</v>
      </c>
      <c r="G21" s="92"/>
      <c r="H21" s="92"/>
      <c r="I21" s="92"/>
      <c r="J21" s="92"/>
      <c r="K21" s="181" t="s">
        <v>21</v>
      </c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3"/>
      <c r="AK21" s="103" t="s">
        <v>22</v>
      </c>
      <c r="AL21" s="103"/>
      <c r="AM21" s="103"/>
      <c r="AN21" s="103"/>
      <c r="AO21" s="103"/>
      <c r="AP21" s="190" t="s">
        <v>23</v>
      </c>
      <c r="AQ21" s="91"/>
      <c r="AR21" s="91"/>
      <c r="AS21" s="104" t="s">
        <v>24</v>
      </c>
      <c r="AT21" s="104"/>
      <c r="AU21" s="104"/>
      <c r="AV21" s="104"/>
      <c r="AW21" s="104"/>
      <c r="AX21" s="104"/>
      <c r="AY21" s="104"/>
      <c r="AZ21" s="104"/>
    </row>
    <row r="22" spans="1:75" s="19" customFormat="1" ht="11.25" customHeight="1" x14ac:dyDescent="0.3">
      <c r="A22" s="180"/>
      <c r="B22" s="180"/>
      <c r="C22" s="180"/>
      <c r="D22" s="180"/>
      <c r="E22" s="180"/>
      <c r="F22" s="92"/>
      <c r="G22" s="92"/>
      <c r="H22" s="92"/>
      <c r="I22" s="92"/>
      <c r="J22" s="92"/>
      <c r="K22" s="71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3"/>
      <c r="AK22" s="103"/>
      <c r="AL22" s="103"/>
      <c r="AM22" s="103"/>
      <c r="AN22" s="103"/>
      <c r="AO22" s="103"/>
      <c r="AP22" s="190"/>
      <c r="AQ22" s="91"/>
      <c r="AR22" s="91"/>
      <c r="AS22" s="104"/>
      <c r="AT22" s="104"/>
      <c r="AU22" s="104"/>
      <c r="AV22" s="104"/>
      <c r="AW22" s="104"/>
      <c r="AX22" s="104"/>
      <c r="AY22" s="104"/>
      <c r="AZ22" s="104"/>
    </row>
    <row r="23" spans="1:75" s="19" customFormat="1" ht="11.25" customHeight="1" x14ac:dyDescent="0.3">
      <c r="A23" s="180"/>
      <c r="B23" s="180"/>
      <c r="C23" s="180"/>
      <c r="D23" s="180"/>
      <c r="E23" s="180"/>
      <c r="F23" s="92"/>
      <c r="G23" s="92"/>
      <c r="H23" s="92"/>
      <c r="I23" s="92"/>
      <c r="J23" s="92"/>
      <c r="K23" s="184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  <c r="AJ23" s="186"/>
      <c r="AK23" s="103"/>
      <c r="AL23" s="103"/>
      <c r="AM23" s="103"/>
      <c r="AN23" s="103"/>
      <c r="AO23" s="103"/>
      <c r="AP23" s="190"/>
      <c r="AQ23" s="91"/>
      <c r="AR23" s="91"/>
      <c r="AS23" s="104"/>
      <c r="AT23" s="104"/>
      <c r="AU23" s="104"/>
      <c r="AV23" s="104"/>
      <c r="AW23" s="104"/>
      <c r="AX23" s="104"/>
      <c r="AY23" s="104"/>
      <c r="AZ23" s="104"/>
    </row>
    <row r="24" spans="1:75" s="19" customFormat="1" ht="11.25" customHeight="1" x14ac:dyDescent="0.3">
      <c r="A24" s="171"/>
      <c r="B24" s="172"/>
      <c r="C24" s="172"/>
      <c r="D24" s="172"/>
      <c r="E24" s="173"/>
      <c r="F24" s="174"/>
      <c r="G24" s="175"/>
      <c r="H24" s="175"/>
      <c r="I24" s="175"/>
      <c r="J24" s="176"/>
      <c r="K24" s="177"/>
      <c r="L24" s="178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9"/>
      <c r="AK24" s="150"/>
      <c r="AL24" s="151"/>
      <c r="AM24" s="151"/>
      <c r="AN24" s="151"/>
      <c r="AO24" s="152"/>
      <c r="AP24" s="153"/>
      <c r="AQ24" s="154"/>
      <c r="AR24" s="155"/>
      <c r="AS24" s="156"/>
      <c r="AT24" s="157"/>
      <c r="AU24" s="157"/>
      <c r="AV24" s="157"/>
      <c r="AW24" s="157"/>
      <c r="AX24" s="157"/>
      <c r="AY24" s="157"/>
      <c r="AZ24" s="158"/>
    </row>
    <row r="25" spans="1:75" s="19" customFormat="1" ht="11.25" customHeight="1" x14ac:dyDescent="0.3">
      <c r="A25" s="159"/>
      <c r="B25" s="160"/>
      <c r="C25" s="160"/>
      <c r="D25" s="160"/>
      <c r="E25" s="161"/>
      <c r="F25" s="144"/>
      <c r="G25" s="145"/>
      <c r="H25" s="145"/>
      <c r="I25" s="145"/>
      <c r="J25" s="146"/>
      <c r="K25" s="147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9"/>
      <c r="AK25" s="150"/>
      <c r="AL25" s="151"/>
      <c r="AM25" s="151"/>
      <c r="AN25" s="151"/>
      <c r="AO25" s="152"/>
      <c r="AP25" s="153"/>
      <c r="AQ25" s="154"/>
      <c r="AR25" s="155"/>
      <c r="AS25" s="156"/>
      <c r="AT25" s="157"/>
      <c r="AU25" s="157"/>
      <c r="AV25" s="157"/>
      <c r="AW25" s="157"/>
      <c r="AX25" s="157"/>
      <c r="AY25" s="157"/>
      <c r="AZ25" s="158"/>
    </row>
    <row r="26" spans="1:75" s="19" customFormat="1" ht="11.25" customHeight="1" x14ac:dyDescent="0.3">
      <c r="A26" s="159"/>
      <c r="B26" s="160"/>
      <c r="C26" s="160"/>
      <c r="D26" s="160"/>
      <c r="E26" s="161"/>
      <c r="F26" s="144"/>
      <c r="G26" s="145"/>
      <c r="H26" s="145"/>
      <c r="I26" s="145"/>
      <c r="J26" s="146"/>
      <c r="K26" s="147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9"/>
      <c r="AK26" s="150"/>
      <c r="AL26" s="151"/>
      <c r="AM26" s="151"/>
      <c r="AN26" s="151"/>
      <c r="AO26" s="152"/>
      <c r="AP26" s="153"/>
      <c r="AQ26" s="154"/>
      <c r="AR26" s="155"/>
      <c r="AS26" s="156"/>
      <c r="AT26" s="157"/>
      <c r="AU26" s="157"/>
      <c r="AV26" s="157"/>
      <c r="AW26" s="157"/>
      <c r="AX26" s="157"/>
      <c r="AY26" s="157"/>
      <c r="AZ26" s="158"/>
    </row>
    <row r="27" spans="1:75" s="19" customFormat="1" ht="11.25" customHeight="1" x14ac:dyDescent="0.3">
      <c r="A27" s="159"/>
      <c r="B27" s="160"/>
      <c r="C27" s="160"/>
      <c r="D27" s="160"/>
      <c r="E27" s="161"/>
      <c r="F27" s="144"/>
      <c r="G27" s="145"/>
      <c r="H27" s="145"/>
      <c r="I27" s="145"/>
      <c r="J27" s="146"/>
      <c r="K27" s="147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9"/>
      <c r="AK27" s="150"/>
      <c r="AL27" s="151"/>
      <c r="AM27" s="151"/>
      <c r="AN27" s="151"/>
      <c r="AO27" s="152"/>
      <c r="AP27" s="153"/>
      <c r="AQ27" s="154"/>
      <c r="AR27" s="155"/>
      <c r="AS27" s="156"/>
      <c r="AT27" s="157"/>
      <c r="AU27" s="157"/>
      <c r="AV27" s="157"/>
      <c r="AW27" s="157"/>
      <c r="AX27" s="157"/>
      <c r="AY27" s="157"/>
      <c r="AZ27" s="158"/>
    </row>
    <row r="28" spans="1:75" s="19" customFormat="1" ht="11.25" customHeight="1" x14ac:dyDescent="0.3">
      <c r="A28" s="165"/>
      <c r="B28" s="166"/>
      <c r="C28" s="166"/>
      <c r="D28" s="166"/>
      <c r="E28" s="167"/>
      <c r="F28" s="144"/>
      <c r="G28" s="145"/>
      <c r="H28" s="145"/>
      <c r="I28" s="145"/>
      <c r="J28" s="146"/>
      <c r="K28" s="168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  <c r="AA28" s="169"/>
      <c r="AB28" s="169"/>
      <c r="AC28" s="169"/>
      <c r="AD28" s="169"/>
      <c r="AE28" s="169"/>
      <c r="AF28" s="169"/>
      <c r="AG28" s="169"/>
      <c r="AH28" s="169"/>
      <c r="AI28" s="169"/>
      <c r="AJ28" s="170"/>
      <c r="AK28" s="150"/>
      <c r="AL28" s="151"/>
      <c r="AM28" s="151"/>
      <c r="AN28" s="151"/>
      <c r="AO28" s="152"/>
      <c r="AP28" s="153"/>
      <c r="AQ28" s="154"/>
      <c r="AR28" s="155"/>
      <c r="AS28" s="156"/>
      <c r="AT28" s="157"/>
      <c r="AU28" s="157"/>
      <c r="AV28" s="157"/>
      <c r="AW28" s="157"/>
      <c r="AX28" s="157"/>
      <c r="AY28" s="157"/>
      <c r="AZ28" s="158"/>
      <c r="BW28" s="224"/>
    </row>
    <row r="29" spans="1:75" s="19" customFormat="1" ht="11.25" customHeight="1" x14ac:dyDescent="0.3">
      <c r="A29" s="165"/>
      <c r="B29" s="166"/>
      <c r="C29" s="166"/>
      <c r="D29" s="166"/>
      <c r="E29" s="167"/>
      <c r="F29" s="144"/>
      <c r="G29" s="145"/>
      <c r="H29" s="145"/>
      <c r="I29" s="145"/>
      <c r="J29" s="145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  <c r="AA29" s="169"/>
      <c r="AB29" s="169"/>
      <c r="AC29" s="169"/>
      <c r="AD29" s="169"/>
      <c r="AE29" s="169"/>
      <c r="AF29" s="169"/>
      <c r="AG29" s="169"/>
      <c r="AH29" s="169"/>
      <c r="AI29" s="169"/>
      <c r="AJ29" s="169"/>
      <c r="AK29" s="150"/>
      <c r="AL29" s="151"/>
      <c r="AM29" s="151"/>
      <c r="AN29" s="151"/>
      <c r="AO29" s="152"/>
      <c r="AP29" s="153"/>
      <c r="AQ29" s="154"/>
      <c r="AR29" s="155"/>
      <c r="AS29" s="156"/>
      <c r="AT29" s="157"/>
      <c r="AU29" s="157"/>
      <c r="AV29" s="157"/>
      <c r="AW29" s="157"/>
      <c r="AX29" s="157"/>
      <c r="AY29" s="157"/>
      <c r="AZ29" s="158"/>
    </row>
    <row r="30" spans="1:75" s="19" customFormat="1" ht="11.25" customHeight="1" x14ac:dyDescent="0.3">
      <c r="A30" s="165"/>
      <c r="B30" s="166"/>
      <c r="C30" s="166"/>
      <c r="D30" s="166"/>
      <c r="E30" s="167"/>
      <c r="F30" s="144"/>
      <c r="G30" s="145"/>
      <c r="H30" s="145"/>
      <c r="I30" s="145"/>
      <c r="J30" s="146"/>
      <c r="K30" s="168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70"/>
      <c r="AK30" s="150"/>
      <c r="AL30" s="151"/>
      <c r="AM30" s="151"/>
      <c r="AN30" s="151"/>
      <c r="AO30" s="152"/>
      <c r="AP30" s="153"/>
      <c r="AQ30" s="154"/>
      <c r="AR30" s="155"/>
      <c r="AS30" s="156"/>
      <c r="AT30" s="157"/>
      <c r="AU30" s="157"/>
      <c r="AV30" s="157"/>
      <c r="AW30" s="157"/>
      <c r="AX30" s="157"/>
      <c r="AY30" s="157"/>
      <c r="AZ30" s="158"/>
    </row>
    <row r="31" spans="1:75" s="19" customFormat="1" ht="11.25" customHeight="1" x14ac:dyDescent="0.3">
      <c r="A31" s="165"/>
      <c r="B31" s="166"/>
      <c r="C31" s="166"/>
      <c r="D31" s="166"/>
      <c r="E31" s="167"/>
      <c r="F31" s="144"/>
      <c r="G31" s="145"/>
      <c r="H31" s="145"/>
      <c r="I31" s="145"/>
      <c r="J31" s="146"/>
      <c r="K31" s="168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70"/>
      <c r="AK31" s="150"/>
      <c r="AL31" s="151"/>
      <c r="AM31" s="151"/>
      <c r="AN31" s="151"/>
      <c r="AO31" s="152"/>
      <c r="AP31" s="153"/>
      <c r="AQ31" s="154"/>
      <c r="AR31" s="155"/>
      <c r="AS31" s="156"/>
      <c r="AT31" s="157"/>
      <c r="AU31" s="157"/>
      <c r="AV31" s="157"/>
      <c r="AW31" s="157"/>
      <c r="AX31" s="157"/>
      <c r="AY31" s="157"/>
      <c r="AZ31" s="158"/>
    </row>
    <row r="32" spans="1:75" s="19" customFormat="1" ht="11.25" customHeight="1" x14ac:dyDescent="0.3">
      <c r="A32" s="165"/>
      <c r="B32" s="166"/>
      <c r="C32" s="166"/>
      <c r="D32" s="166"/>
      <c r="E32" s="167"/>
      <c r="F32" s="144"/>
      <c r="G32" s="145"/>
      <c r="H32" s="145"/>
      <c r="I32" s="145"/>
      <c r="J32" s="146"/>
      <c r="K32" s="168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  <c r="AA32" s="169"/>
      <c r="AB32" s="169"/>
      <c r="AC32" s="169"/>
      <c r="AD32" s="169"/>
      <c r="AE32" s="169"/>
      <c r="AF32" s="169"/>
      <c r="AG32" s="169"/>
      <c r="AH32" s="169"/>
      <c r="AI32" s="169"/>
      <c r="AJ32" s="170"/>
      <c r="AK32" s="150"/>
      <c r="AL32" s="151"/>
      <c r="AM32" s="151"/>
      <c r="AN32" s="151"/>
      <c r="AO32" s="152"/>
      <c r="AP32" s="153"/>
      <c r="AQ32" s="154"/>
      <c r="AR32" s="155"/>
      <c r="AS32" s="162"/>
      <c r="AT32" s="163"/>
      <c r="AU32" s="163"/>
      <c r="AV32" s="163"/>
      <c r="AW32" s="163"/>
      <c r="AX32" s="163"/>
      <c r="AY32" s="163"/>
      <c r="AZ32" s="164"/>
    </row>
    <row r="33" spans="1:52" s="19" customFormat="1" ht="11.25" customHeight="1" x14ac:dyDescent="0.3">
      <c r="A33" s="159"/>
      <c r="B33" s="160"/>
      <c r="C33" s="160"/>
      <c r="D33" s="160"/>
      <c r="E33" s="161"/>
      <c r="F33" s="144"/>
      <c r="G33" s="145"/>
      <c r="H33" s="145"/>
      <c r="I33" s="145"/>
      <c r="J33" s="146"/>
      <c r="K33" s="147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9"/>
      <c r="AK33" s="150"/>
      <c r="AL33" s="151"/>
      <c r="AM33" s="151"/>
      <c r="AN33" s="151"/>
      <c r="AO33" s="152"/>
      <c r="AP33" s="153"/>
      <c r="AQ33" s="154"/>
      <c r="AR33" s="155"/>
      <c r="AS33" s="156"/>
      <c r="AT33" s="157"/>
      <c r="AU33" s="157"/>
      <c r="AV33" s="157"/>
      <c r="AW33" s="157"/>
      <c r="AX33" s="157"/>
      <c r="AY33" s="157"/>
      <c r="AZ33" s="158"/>
    </row>
    <row r="34" spans="1:52" s="19" customFormat="1" ht="11.25" customHeight="1" x14ac:dyDescent="0.3">
      <c r="A34" s="165"/>
      <c r="B34" s="166"/>
      <c r="C34" s="166"/>
      <c r="D34" s="166"/>
      <c r="E34" s="167"/>
      <c r="F34" s="144"/>
      <c r="G34" s="145"/>
      <c r="H34" s="145"/>
      <c r="I34" s="145"/>
      <c r="J34" s="146"/>
      <c r="K34" s="168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  <c r="AA34" s="169"/>
      <c r="AB34" s="169"/>
      <c r="AC34" s="169"/>
      <c r="AD34" s="169"/>
      <c r="AE34" s="169"/>
      <c r="AF34" s="169"/>
      <c r="AG34" s="169"/>
      <c r="AH34" s="169"/>
      <c r="AI34" s="169"/>
      <c r="AJ34" s="170"/>
      <c r="AK34" s="150"/>
      <c r="AL34" s="151"/>
      <c r="AM34" s="151"/>
      <c r="AN34" s="151"/>
      <c r="AO34" s="152"/>
      <c r="AP34" s="153"/>
      <c r="AQ34" s="154"/>
      <c r="AR34" s="155"/>
      <c r="AS34" s="162"/>
      <c r="AT34" s="163"/>
      <c r="AU34" s="163"/>
      <c r="AV34" s="163"/>
      <c r="AW34" s="163"/>
      <c r="AX34" s="163"/>
      <c r="AY34" s="163"/>
      <c r="AZ34" s="164"/>
    </row>
    <row r="35" spans="1:52" s="19" customFormat="1" ht="11.25" customHeight="1" x14ac:dyDescent="0.3">
      <c r="A35" s="165"/>
      <c r="B35" s="166"/>
      <c r="C35" s="166"/>
      <c r="D35" s="166"/>
      <c r="E35" s="167"/>
      <c r="F35" s="144"/>
      <c r="G35" s="145"/>
      <c r="H35" s="145"/>
      <c r="I35" s="145"/>
      <c r="J35" s="146"/>
      <c r="K35" s="168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70"/>
      <c r="AK35" s="150"/>
      <c r="AL35" s="151"/>
      <c r="AM35" s="151"/>
      <c r="AN35" s="151"/>
      <c r="AO35" s="152"/>
      <c r="AP35" s="153"/>
      <c r="AQ35" s="154"/>
      <c r="AR35" s="155"/>
      <c r="AS35" s="162"/>
      <c r="AT35" s="163"/>
      <c r="AU35" s="163"/>
      <c r="AV35" s="163"/>
      <c r="AW35" s="163"/>
      <c r="AX35" s="163"/>
      <c r="AY35" s="163"/>
      <c r="AZ35" s="164"/>
    </row>
    <row r="36" spans="1:52" s="19" customFormat="1" ht="11.25" customHeight="1" x14ac:dyDescent="0.3">
      <c r="A36" s="159"/>
      <c r="B36" s="160"/>
      <c r="C36" s="160"/>
      <c r="D36" s="160"/>
      <c r="E36" s="161"/>
      <c r="F36" s="144"/>
      <c r="G36" s="145"/>
      <c r="H36" s="145"/>
      <c r="I36" s="145"/>
      <c r="J36" s="146"/>
      <c r="K36" s="147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9"/>
      <c r="AK36" s="150"/>
      <c r="AL36" s="151"/>
      <c r="AM36" s="151"/>
      <c r="AN36" s="151"/>
      <c r="AO36" s="152"/>
      <c r="AP36" s="153"/>
      <c r="AQ36" s="154"/>
      <c r="AR36" s="155"/>
      <c r="AS36" s="156"/>
      <c r="AT36" s="157"/>
      <c r="AU36" s="157"/>
      <c r="AV36" s="157"/>
      <c r="AW36" s="157"/>
      <c r="AX36" s="157"/>
      <c r="AY36" s="157"/>
      <c r="AZ36" s="158"/>
    </row>
    <row r="37" spans="1:52" s="19" customFormat="1" ht="11.25" customHeight="1" x14ac:dyDescent="0.3">
      <c r="A37" s="159"/>
      <c r="B37" s="160"/>
      <c r="C37" s="160"/>
      <c r="D37" s="160"/>
      <c r="E37" s="161"/>
      <c r="F37" s="144"/>
      <c r="G37" s="145"/>
      <c r="H37" s="145"/>
      <c r="I37" s="145"/>
      <c r="J37" s="146"/>
      <c r="K37" s="147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9"/>
      <c r="AK37" s="150"/>
      <c r="AL37" s="151"/>
      <c r="AM37" s="151"/>
      <c r="AN37" s="151"/>
      <c r="AO37" s="152"/>
      <c r="AP37" s="153"/>
      <c r="AQ37" s="154"/>
      <c r="AR37" s="155"/>
      <c r="AS37" s="156"/>
      <c r="AT37" s="157"/>
      <c r="AU37" s="157"/>
      <c r="AV37" s="157"/>
      <c r="AW37" s="157"/>
      <c r="AX37" s="157"/>
      <c r="AY37" s="157"/>
      <c r="AZ37" s="158"/>
    </row>
    <row r="38" spans="1:52" s="19" customFormat="1" ht="11.25" customHeight="1" x14ac:dyDescent="0.3">
      <c r="A38" s="159"/>
      <c r="B38" s="160"/>
      <c r="C38" s="160"/>
      <c r="D38" s="160"/>
      <c r="E38" s="161"/>
      <c r="F38" s="144"/>
      <c r="G38" s="145"/>
      <c r="H38" s="145"/>
      <c r="I38" s="145"/>
      <c r="J38" s="146"/>
      <c r="K38" s="147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9"/>
      <c r="AK38" s="150"/>
      <c r="AL38" s="151"/>
      <c r="AM38" s="151"/>
      <c r="AN38" s="151"/>
      <c r="AO38" s="152"/>
      <c r="AP38" s="153"/>
      <c r="AQ38" s="154"/>
      <c r="AR38" s="155"/>
      <c r="AS38" s="156"/>
      <c r="AT38" s="157"/>
      <c r="AU38" s="157"/>
      <c r="AV38" s="157"/>
      <c r="AW38" s="157"/>
      <c r="AX38" s="157"/>
      <c r="AY38" s="157"/>
      <c r="AZ38" s="158"/>
    </row>
    <row r="39" spans="1:52" s="19" customFormat="1" ht="11.25" customHeight="1" x14ac:dyDescent="0.3">
      <c r="A39" s="159"/>
      <c r="B39" s="160"/>
      <c r="C39" s="160"/>
      <c r="D39" s="160"/>
      <c r="E39" s="161"/>
      <c r="F39" s="144"/>
      <c r="G39" s="145"/>
      <c r="H39" s="145"/>
      <c r="I39" s="145"/>
      <c r="J39" s="146"/>
      <c r="K39" s="147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9"/>
      <c r="AK39" s="150"/>
      <c r="AL39" s="151"/>
      <c r="AM39" s="151"/>
      <c r="AN39" s="151"/>
      <c r="AO39" s="152"/>
      <c r="AP39" s="153"/>
      <c r="AQ39" s="154"/>
      <c r="AR39" s="155"/>
      <c r="AS39" s="156"/>
      <c r="AT39" s="157"/>
      <c r="AU39" s="157"/>
      <c r="AV39" s="157"/>
      <c r="AW39" s="157"/>
      <c r="AX39" s="157"/>
      <c r="AY39" s="157"/>
      <c r="AZ39" s="158"/>
    </row>
    <row r="40" spans="1:52" s="19" customFormat="1" ht="11.25" customHeight="1" x14ac:dyDescent="0.3">
      <c r="A40" s="159"/>
      <c r="B40" s="160"/>
      <c r="C40" s="160"/>
      <c r="D40" s="160"/>
      <c r="E40" s="161"/>
      <c r="F40" s="144"/>
      <c r="G40" s="145"/>
      <c r="H40" s="145"/>
      <c r="I40" s="145"/>
      <c r="J40" s="146"/>
      <c r="K40" s="147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9"/>
      <c r="AK40" s="150"/>
      <c r="AL40" s="151"/>
      <c r="AM40" s="151"/>
      <c r="AN40" s="151"/>
      <c r="AO40" s="152"/>
      <c r="AP40" s="153"/>
      <c r="AQ40" s="154"/>
      <c r="AR40" s="155"/>
      <c r="AS40" s="156"/>
      <c r="AT40" s="222"/>
      <c r="AU40" s="222"/>
      <c r="AV40" s="222"/>
      <c r="AW40" s="222"/>
      <c r="AX40" s="222"/>
      <c r="AY40" s="222"/>
      <c r="AZ40" s="223"/>
    </row>
    <row r="41" spans="1:52" s="19" customFormat="1" ht="11.25" customHeight="1" x14ac:dyDescent="0.3">
      <c r="A41" s="141"/>
      <c r="B41" s="142"/>
      <c r="C41" s="142"/>
      <c r="D41" s="142"/>
      <c r="E41" s="143"/>
      <c r="F41" s="144"/>
      <c r="G41" s="145"/>
      <c r="H41" s="145"/>
      <c r="I41" s="145"/>
      <c r="J41" s="146"/>
      <c r="K41" s="147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9"/>
      <c r="AK41" s="150"/>
      <c r="AL41" s="151"/>
      <c r="AM41" s="151"/>
      <c r="AN41" s="151"/>
      <c r="AO41" s="152"/>
      <c r="AP41" s="153"/>
      <c r="AQ41" s="154"/>
      <c r="AR41" s="155"/>
      <c r="AS41" s="156"/>
      <c r="AT41" s="157"/>
      <c r="AU41" s="157"/>
      <c r="AV41" s="157"/>
      <c r="AW41" s="157"/>
      <c r="AX41" s="157"/>
      <c r="AY41" s="157"/>
      <c r="AZ41" s="158"/>
    </row>
    <row r="42" spans="1:52" s="19" customFormat="1" ht="11.25" customHeight="1" x14ac:dyDescent="0.3">
      <c r="A42" s="159"/>
      <c r="B42" s="160"/>
      <c r="C42" s="160"/>
      <c r="D42" s="160"/>
      <c r="E42" s="161"/>
      <c r="F42" s="144"/>
      <c r="G42" s="145"/>
      <c r="H42" s="145"/>
      <c r="I42" s="145"/>
      <c r="J42" s="146"/>
      <c r="K42" s="147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  <c r="AJ42" s="149"/>
      <c r="AK42" s="150"/>
      <c r="AL42" s="151"/>
      <c r="AM42" s="151"/>
      <c r="AN42" s="151"/>
      <c r="AO42" s="152"/>
      <c r="AP42" s="153"/>
      <c r="AQ42" s="154"/>
      <c r="AR42" s="155"/>
      <c r="AS42" s="156"/>
      <c r="AT42" s="157"/>
      <c r="AU42" s="157"/>
      <c r="AV42" s="157"/>
      <c r="AW42" s="157"/>
      <c r="AX42" s="157"/>
      <c r="AY42" s="157"/>
      <c r="AZ42" s="158"/>
    </row>
    <row r="43" spans="1:52" s="19" customFormat="1" ht="11.25" customHeight="1" x14ac:dyDescent="0.3">
      <c r="A43" s="159"/>
      <c r="B43" s="160"/>
      <c r="C43" s="160"/>
      <c r="D43" s="160"/>
      <c r="E43" s="161"/>
      <c r="F43" s="144"/>
      <c r="G43" s="145"/>
      <c r="H43" s="145"/>
      <c r="I43" s="145"/>
      <c r="J43" s="146"/>
      <c r="K43" s="147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9"/>
      <c r="AK43" s="150"/>
      <c r="AL43" s="151"/>
      <c r="AM43" s="151"/>
      <c r="AN43" s="151"/>
      <c r="AO43" s="152"/>
      <c r="AP43" s="153"/>
      <c r="AQ43" s="154"/>
      <c r="AR43" s="155"/>
      <c r="AS43" s="156"/>
      <c r="AT43" s="157"/>
      <c r="AU43" s="157"/>
      <c r="AV43" s="157"/>
      <c r="AW43" s="157"/>
      <c r="AX43" s="157"/>
      <c r="AY43" s="157"/>
      <c r="AZ43" s="158"/>
    </row>
    <row r="44" spans="1:52" s="19" customFormat="1" ht="11.25" customHeight="1" x14ac:dyDescent="0.3">
      <c r="A44" s="159"/>
      <c r="B44" s="160"/>
      <c r="C44" s="160"/>
      <c r="D44" s="160"/>
      <c r="E44" s="161"/>
      <c r="F44" s="144"/>
      <c r="G44" s="145"/>
      <c r="H44" s="145"/>
      <c r="I44" s="145"/>
      <c r="J44" s="146"/>
      <c r="K44" s="147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9"/>
      <c r="AK44" s="150"/>
      <c r="AL44" s="151"/>
      <c r="AM44" s="151"/>
      <c r="AN44" s="151"/>
      <c r="AO44" s="152"/>
      <c r="AP44" s="153"/>
      <c r="AQ44" s="154"/>
      <c r="AR44" s="155"/>
      <c r="AS44" s="156"/>
      <c r="AT44" s="157"/>
      <c r="AU44" s="157"/>
      <c r="AV44" s="157"/>
      <c r="AW44" s="157"/>
      <c r="AX44" s="157"/>
      <c r="AY44" s="157"/>
      <c r="AZ44" s="158"/>
    </row>
    <row r="45" spans="1:52" s="19" customFormat="1" ht="11.25" customHeight="1" x14ac:dyDescent="0.3">
      <c r="A45" s="159"/>
      <c r="B45" s="160"/>
      <c r="C45" s="160"/>
      <c r="D45" s="160"/>
      <c r="E45" s="161"/>
      <c r="F45" s="144"/>
      <c r="G45" s="145"/>
      <c r="H45" s="145"/>
      <c r="I45" s="145"/>
      <c r="J45" s="146"/>
      <c r="K45" s="147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9"/>
      <c r="AK45" s="150"/>
      <c r="AL45" s="151"/>
      <c r="AM45" s="151"/>
      <c r="AN45" s="151"/>
      <c r="AO45" s="152"/>
      <c r="AP45" s="153"/>
      <c r="AQ45" s="154"/>
      <c r="AR45" s="155"/>
      <c r="AS45" s="156"/>
      <c r="AT45" s="157"/>
      <c r="AU45" s="157"/>
      <c r="AV45" s="157"/>
      <c r="AW45" s="157"/>
      <c r="AX45" s="157"/>
      <c r="AY45" s="157"/>
      <c r="AZ45" s="158"/>
    </row>
    <row r="46" spans="1:52" s="19" customFormat="1" ht="11.25" customHeight="1" x14ac:dyDescent="0.3">
      <c r="A46" s="159"/>
      <c r="B46" s="160"/>
      <c r="C46" s="160"/>
      <c r="D46" s="160"/>
      <c r="E46" s="161"/>
      <c r="F46" s="144"/>
      <c r="G46" s="145"/>
      <c r="H46" s="145"/>
      <c r="I46" s="145"/>
      <c r="J46" s="146"/>
      <c r="K46" s="147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9"/>
      <c r="AK46" s="150"/>
      <c r="AL46" s="151"/>
      <c r="AM46" s="151"/>
      <c r="AN46" s="151"/>
      <c r="AO46" s="152"/>
      <c r="AP46" s="153"/>
      <c r="AQ46" s="154"/>
      <c r="AR46" s="155"/>
      <c r="AS46" s="156"/>
      <c r="AT46" s="157"/>
      <c r="AU46" s="157"/>
      <c r="AV46" s="157"/>
      <c r="AW46" s="157"/>
      <c r="AX46" s="157"/>
      <c r="AY46" s="157"/>
      <c r="AZ46" s="158"/>
    </row>
    <row r="47" spans="1:52" s="19" customFormat="1" ht="11.25" customHeight="1" x14ac:dyDescent="0.3">
      <c r="A47" s="159"/>
      <c r="B47" s="160"/>
      <c r="C47" s="160"/>
      <c r="D47" s="160"/>
      <c r="E47" s="161"/>
      <c r="F47" s="144"/>
      <c r="G47" s="145"/>
      <c r="H47" s="145"/>
      <c r="I47" s="145"/>
      <c r="J47" s="146"/>
      <c r="K47" s="147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148"/>
      <c r="AE47" s="148"/>
      <c r="AF47" s="148"/>
      <c r="AG47" s="148"/>
      <c r="AH47" s="148"/>
      <c r="AI47" s="148"/>
      <c r="AJ47" s="149"/>
      <c r="AK47" s="150"/>
      <c r="AL47" s="151"/>
      <c r="AM47" s="151"/>
      <c r="AN47" s="151"/>
      <c r="AO47" s="152"/>
      <c r="AP47" s="153"/>
      <c r="AQ47" s="154"/>
      <c r="AR47" s="155"/>
      <c r="AS47" s="156"/>
      <c r="AT47" s="157"/>
      <c r="AU47" s="157"/>
      <c r="AV47" s="157"/>
      <c r="AW47" s="157"/>
      <c r="AX47" s="157"/>
      <c r="AY47" s="157"/>
      <c r="AZ47" s="158"/>
    </row>
    <row r="48" spans="1:52" s="19" customFormat="1" ht="11.25" customHeight="1" x14ac:dyDescent="0.3">
      <c r="A48" s="159"/>
      <c r="B48" s="160"/>
      <c r="C48" s="160"/>
      <c r="D48" s="160"/>
      <c r="E48" s="161"/>
      <c r="F48" s="144"/>
      <c r="G48" s="145"/>
      <c r="H48" s="145"/>
      <c r="I48" s="145"/>
      <c r="J48" s="146"/>
      <c r="K48" s="147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148"/>
      <c r="AE48" s="148"/>
      <c r="AF48" s="148"/>
      <c r="AG48" s="148"/>
      <c r="AH48" s="148"/>
      <c r="AI48" s="148"/>
      <c r="AJ48" s="149"/>
      <c r="AK48" s="150"/>
      <c r="AL48" s="151"/>
      <c r="AM48" s="151"/>
      <c r="AN48" s="151"/>
      <c r="AO48" s="152"/>
      <c r="AP48" s="153"/>
      <c r="AQ48" s="154"/>
      <c r="AR48" s="155"/>
      <c r="AS48" s="156"/>
      <c r="AT48" s="157"/>
      <c r="AU48" s="157"/>
      <c r="AV48" s="157"/>
      <c r="AW48" s="157"/>
      <c r="AX48" s="157"/>
      <c r="AY48" s="157"/>
      <c r="AZ48" s="158"/>
    </row>
    <row r="49" spans="1:52" s="19" customFormat="1" ht="11.25" customHeight="1" x14ac:dyDescent="0.3">
      <c r="A49" s="159"/>
      <c r="B49" s="160"/>
      <c r="C49" s="160"/>
      <c r="D49" s="160"/>
      <c r="E49" s="161"/>
      <c r="F49" s="144"/>
      <c r="G49" s="145"/>
      <c r="H49" s="145"/>
      <c r="I49" s="145"/>
      <c r="J49" s="146"/>
      <c r="K49" s="147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8"/>
      <c r="AE49" s="148"/>
      <c r="AF49" s="148"/>
      <c r="AG49" s="148"/>
      <c r="AH49" s="148"/>
      <c r="AI49" s="148"/>
      <c r="AJ49" s="149"/>
      <c r="AK49" s="150"/>
      <c r="AL49" s="151"/>
      <c r="AM49" s="151"/>
      <c r="AN49" s="151"/>
      <c r="AO49" s="152"/>
      <c r="AP49" s="153"/>
      <c r="AQ49" s="154"/>
      <c r="AR49" s="155"/>
      <c r="AS49" s="156"/>
      <c r="AT49" s="157"/>
      <c r="AU49" s="157"/>
      <c r="AV49" s="157"/>
      <c r="AW49" s="157"/>
      <c r="AX49" s="157"/>
      <c r="AY49" s="157"/>
      <c r="AZ49" s="158"/>
    </row>
    <row r="50" spans="1:52" s="19" customFormat="1" ht="11.25" customHeight="1" x14ac:dyDescent="0.3">
      <c r="A50" s="159"/>
      <c r="B50" s="160"/>
      <c r="C50" s="160"/>
      <c r="D50" s="160"/>
      <c r="E50" s="161"/>
      <c r="F50" s="144"/>
      <c r="G50" s="145"/>
      <c r="H50" s="145"/>
      <c r="I50" s="145"/>
      <c r="J50" s="146"/>
      <c r="K50" s="147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9"/>
      <c r="AK50" s="150"/>
      <c r="AL50" s="151"/>
      <c r="AM50" s="151"/>
      <c r="AN50" s="151"/>
      <c r="AO50" s="152"/>
      <c r="AP50" s="153"/>
      <c r="AQ50" s="154"/>
      <c r="AR50" s="155"/>
      <c r="AS50" s="156"/>
      <c r="AT50" s="157"/>
      <c r="AU50" s="157"/>
      <c r="AV50" s="157"/>
      <c r="AW50" s="157"/>
      <c r="AX50" s="157"/>
      <c r="AY50" s="157"/>
      <c r="AZ50" s="158"/>
    </row>
    <row r="51" spans="1:52" s="19" customFormat="1" ht="11.25" customHeight="1" x14ac:dyDescent="0.3">
      <c r="A51" s="141"/>
      <c r="B51" s="142"/>
      <c r="C51" s="142"/>
      <c r="D51" s="142"/>
      <c r="E51" s="143"/>
      <c r="F51" s="144"/>
      <c r="G51" s="145"/>
      <c r="H51" s="145"/>
      <c r="I51" s="145"/>
      <c r="J51" s="146"/>
      <c r="K51" s="147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9"/>
      <c r="AK51" s="150"/>
      <c r="AL51" s="151"/>
      <c r="AM51" s="151"/>
      <c r="AN51" s="151"/>
      <c r="AO51" s="152"/>
      <c r="AP51" s="153"/>
      <c r="AQ51" s="154"/>
      <c r="AR51" s="155"/>
      <c r="AS51" s="156"/>
      <c r="AT51" s="157"/>
      <c r="AU51" s="157"/>
      <c r="AV51" s="157"/>
      <c r="AW51" s="157"/>
      <c r="AX51" s="157"/>
      <c r="AY51" s="157"/>
      <c r="AZ51" s="158"/>
    </row>
    <row r="52" spans="1:52" s="19" customFormat="1" ht="11.25" customHeight="1" x14ac:dyDescent="0.3">
      <c r="A52" s="141"/>
      <c r="B52" s="142"/>
      <c r="C52" s="142"/>
      <c r="D52" s="142"/>
      <c r="E52" s="143"/>
      <c r="F52" s="144"/>
      <c r="G52" s="145"/>
      <c r="H52" s="145"/>
      <c r="I52" s="145"/>
      <c r="J52" s="146"/>
      <c r="K52" s="147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9"/>
      <c r="AK52" s="150"/>
      <c r="AL52" s="151"/>
      <c r="AM52" s="151"/>
      <c r="AN52" s="151"/>
      <c r="AO52" s="152"/>
      <c r="AP52" s="153"/>
      <c r="AQ52" s="154"/>
      <c r="AR52" s="155"/>
      <c r="AS52" s="156"/>
      <c r="AT52" s="157"/>
      <c r="AU52" s="157"/>
      <c r="AV52" s="157"/>
      <c r="AW52" s="157"/>
      <c r="AX52" s="157"/>
      <c r="AY52" s="157"/>
      <c r="AZ52" s="158"/>
    </row>
    <row r="53" spans="1:52" s="19" customFormat="1" ht="11.25" customHeight="1" x14ac:dyDescent="0.3">
      <c r="A53" s="141"/>
      <c r="B53" s="142"/>
      <c r="C53" s="142"/>
      <c r="D53" s="142"/>
      <c r="E53" s="143"/>
      <c r="F53" s="144"/>
      <c r="G53" s="145"/>
      <c r="H53" s="145"/>
      <c r="I53" s="145"/>
      <c r="J53" s="146"/>
      <c r="K53" s="147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  <c r="AC53" s="148"/>
      <c r="AD53" s="148"/>
      <c r="AE53" s="148"/>
      <c r="AF53" s="148"/>
      <c r="AG53" s="148"/>
      <c r="AH53" s="148"/>
      <c r="AI53" s="148"/>
      <c r="AJ53" s="149"/>
      <c r="AK53" s="150"/>
      <c r="AL53" s="151"/>
      <c r="AM53" s="151"/>
      <c r="AN53" s="151"/>
      <c r="AO53" s="152"/>
      <c r="AP53" s="153"/>
      <c r="AQ53" s="154"/>
      <c r="AR53" s="155"/>
      <c r="AS53" s="156"/>
      <c r="AT53" s="157"/>
      <c r="AU53" s="157"/>
      <c r="AV53" s="157"/>
      <c r="AW53" s="157"/>
      <c r="AX53" s="157"/>
      <c r="AY53" s="157"/>
      <c r="AZ53" s="158"/>
    </row>
    <row r="54" spans="1:52" s="19" customFormat="1" ht="11.25" customHeight="1" x14ac:dyDescent="0.3">
      <c r="A54" s="141"/>
      <c r="B54" s="142"/>
      <c r="C54" s="142"/>
      <c r="D54" s="142"/>
      <c r="E54" s="143"/>
      <c r="F54" s="144"/>
      <c r="G54" s="145"/>
      <c r="H54" s="145"/>
      <c r="I54" s="145"/>
      <c r="J54" s="146"/>
      <c r="K54" s="147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  <c r="AC54" s="148"/>
      <c r="AD54" s="148"/>
      <c r="AE54" s="148"/>
      <c r="AF54" s="148"/>
      <c r="AG54" s="148"/>
      <c r="AH54" s="148"/>
      <c r="AI54" s="148"/>
      <c r="AJ54" s="149"/>
      <c r="AK54" s="150"/>
      <c r="AL54" s="151"/>
      <c r="AM54" s="151"/>
      <c r="AN54" s="151"/>
      <c r="AO54" s="152"/>
      <c r="AP54" s="153"/>
      <c r="AQ54" s="154"/>
      <c r="AR54" s="155"/>
      <c r="AS54" s="156"/>
      <c r="AT54" s="157"/>
      <c r="AU54" s="157"/>
      <c r="AV54" s="157"/>
      <c r="AW54" s="157"/>
      <c r="AX54" s="157"/>
      <c r="AY54" s="157"/>
      <c r="AZ54" s="158"/>
    </row>
    <row r="55" spans="1:52" s="19" customFormat="1" ht="11.25" customHeight="1" x14ac:dyDescent="0.3">
      <c r="A55" s="141"/>
      <c r="B55" s="142"/>
      <c r="C55" s="142"/>
      <c r="D55" s="142"/>
      <c r="E55" s="143"/>
      <c r="F55" s="144"/>
      <c r="G55" s="145"/>
      <c r="H55" s="145"/>
      <c r="I55" s="145"/>
      <c r="J55" s="146"/>
      <c r="K55" s="147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  <c r="AC55" s="148"/>
      <c r="AD55" s="148"/>
      <c r="AE55" s="148"/>
      <c r="AF55" s="148"/>
      <c r="AG55" s="148"/>
      <c r="AH55" s="148"/>
      <c r="AI55" s="148"/>
      <c r="AJ55" s="149"/>
      <c r="AK55" s="150"/>
      <c r="AL55" s="151"/>
      <c r="AM55" s="151"/>
      <c r="AN55" s="151"/>
      <c r="AO55" s="152"/>
      <c r="AP55" s="153"/>
      <c r="AQ55" s="154"/>
      <c r="AR55" s="155"/>
      <c r="AS55" s="156"/>
      <c r="AT55" s="157"/>
      <c r="AU55" s="157"/>
      <c r="AV55" s="157"/>
      <c r="AW55" s="157"/>
      <c r="AX55" s="157"/>
      <c r="AY55" s="157"/>
      <c r="AZ55" s="158"/>
    </row>
    <row r="56" spans="1:52" s="19" customFormat="1" ht="11.25" customHeight="1" x14ac:dyDescent="0.3">
      <c r="A56" s="141"/>
      <c r="B56" s="142"/>
      <c r="C56" s="142"/>
      <c r="D56" s="142"/>
      <c r="E56" s="143"/>
      <c r="F56" s="144"/>
      <c r="G56" s="145"/>
      <c r="H56" s="145"/>
      <c r="I56" s="145"/>
      <c r="J56" s="146"/>
      <c r="K56" s="147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E56" s="148"/>
      <c r="AF56" s="148"/>
      <c r="AG56" s="148"/>
      <c r="AH56" s="148"/>
      <c r="AI56" s="148"/>
      <c r="AJ56" s="149"/>
      <c r="AK56" s="150"/>
      <c r="AL56" s="151"/>
      <c r="AM56" s="151"/>
      <c r="AN56" s="151"/>
      <c r="AO56" s="152"/>
      <c r="AP56" s="153"/>
      <c r="AQ56" s="154"/>
      <c r="AR56" s="155"/>
      <c r="AS56" s="156"/>
      <c r="AT56" s="157"/>
      <c r="AU56" s="157"/>
      <c r="AV56" s="157"/>
      <c r="AW56" s="157"/>
      <c r="AX56" s="157"/>
      <c r="AY56" s="157"/>
      <c r="AZ56" s="158"/>
    </row>
    <row r="57" spans="1:52" s="19" customFormat="1" ht="11.25" customHeight="1" x14ac:dyDescent="0.3">
      <c r="A57" s="141"/>
      <c r="B57" s="142"/>
      <c r="C57" s="142"/>
      <c r="D57" s="142"/>
      <c r="E57" s="143"/>
      <c r="F57" s="144"/>
      <c r="G57" s="145"/>
      <c r="H57" s="145"/>
      <c r="I57" s="145"/>
      <c r="J57" s="146"/>
      <c r="K57" s="147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9"/>
      <c r="AK57" s="150"/>
      <c r="AL57" s="151"/>
      <c r="AM57" s="151"/>
      <c r="AN57" s="151"/>
      <c r="AO57" s="152"/>
      <c r="AP57" s="153"/>
      <c r="AQ57" s="154"/>
      <c r="AR57" s="155"/>
      <c r="AS57" s="156"/>
      <c r="AT57" s="157"/>
      <c r="AU57" s="157"/>
      <c r="AV57" s="157"/>
      <c r="AW57" s="157"/>
      <c r="AX57" s="157"/>
      <c r="AY57" s="157"/>
      <c r="AZ57" s="158"/>
    </row>
    <row r="58" spans="1:52" s="19" customFormat="1" ht="11.25" customHeight="1" x14ac:dyDescent="0.3">
      <c r="A58" s="204"/>
      <c r="B58" s="205"/>
      <c r="C58" s="205"/>
      <c r="D58" s="205"/>
      <c r="E58" s="206"/>
      <c r="F58" s="207"/>
      <c r="G58" s="208"/>
      <c r="H58" s="208"/>
      <c r="I58" s="208"/>
      <c r="J58" s="209"/>
      <c r="K58" s="210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  <c r="Z58" s="211"/>
      <c r="AA58" s="211"/>
      <c r="AB58" s="211"/>
      <c r="AC58" s="211"/>
      <c r="AD58" s="211"/>
      <c r="AE58" s="211"/>
      <c r="AF58" s="211"/>
      <c r="AG58" s="211"/>
      <c r="AH58" s="211"/>
      <c r="AI58" s="211"/>
      <c r="AJ58" s="212"/>
      <c r="AK58" s="213"/>
      <c r="AL58" s="214"/>
      <c r="AM58" s="214"/>
      <c r="AN58" s="214"/>
      <c r="AO58" s="215"/>
      <c r="AP58" s="216"/>
      <c r="AQ58" s="217"/>
      <c r="AR58" s="218"/>
      <c r="AS58" s="219"/>
      <c r="AT58" s="220"/>
      <c r="AU58" s="220"/>
      <c r="AV58" s="220"/>
      <c r="AW58" s="220"/>
      <c r="AX58" s="220"/>
      <c r="AY58" s="220"/>
      <c r="AZ58" s="221"/>
    </row>
    <row r="59" spans="1:52" s="19" customFormat="1" ht="5.85" customHeight="1" x14ac:dyDescent="0.3">
      <c r="A59" s="47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48"/>
      <c r="AK59" s="135" t="s">
        <v>25</v>
      </c>
      <c r="AL59" s="136"/>
      <c r="AM59" s="136"/>
      <c r="AN59" s="136"/>
      <c r="AO59" s="136"/>
      <c r="AP59" s="136"/>
      <c r="AQ59" s="136"/>
      <c r="AR59" s="137"/>
      <c r="AS59" s="138"/>
      <c r="AT59" s="139"/>
      <c r="AU59" s="139"/>
      <c r="AV59" s="139"/>
      <c r="AW59" s="139"/>
      <c r="AX59" s="139"/>
      <c r="AY59" s="139"/>
      <c r="AZ59" s="140"/>
    </row>
    <row r="60" spans="1:52" s="20" customFormat="1" ht="11.25" customHeight="1" x14ac:dyDescent="0.3">
      <c r="A60" s="31"/>
      <c r="AJ60" s="32"/>
      <c r="AK60" s="33"/>
      <c r="AL60" s="24"/>
      <c r="AM60" s="24"/>
      <c r="AN60" s="24"/>
      <c r="AO60" s="24"/>
      <c r="AR60" s="32"/>
      <c r="AS60" s="31"/>
      <c r="AZ60" s="32"/>
    </row>
    <row r="61" spans="1:52" s="20" customFormat="1" ht="9.75" customHeight="1" x14ac:dyDescent="0.3">
      <c r="A61" s="34" t="s">
        <v>26</v>
      </c>
      <c r="E61" s="20" t="s">
        <v>76</v>
      </c>
      <c r="N61" s="18" t="s">
        <v>27</v>
      </c>
      <c r="R61" s="20" t="s">
        <v>28</v>
      </c>
      <c r="U61" s="124" t="s">
        <v>29</v>
      </c>
      <c r="V61" s="124"/>
      <c r="W61" s="124"/>
      <c r="X61" s="124"/>
      <c r="Y61" s="125">
        <v>1200</v>
      </c>
      <c r="Z61" s="125"/>
      <c r="AA61" s="125"/>
      <c r="AB61" s="125"/>
      <c r="AC61" s="125"/>
      <c r="AD61" s="18" t="s">
        <v>30</v>
      </c>
      <c r="AG61" s="20" t="s">
        <v>31</v>
      </c>
      <c r="AJ61" s="32"/>
      <c r="AK61" s="115" t="s">
        <v>17</v>
      </c>
      <c r="AL61" s="116"/>
      <c r="AM61" s="116"/>
      <c r="AN61" s="116"/>
      <c r="AO61" s="116"/>
      <c r="AP61" s="116"/>
      <c r="AQ61" s="116"/>
      <c r="AR61" s="134"/>
      <c r="AS61" s="113"/>
      <c r="AT61" s="90"/>
      <c r="AU61" s="90"/>
      <c r="AV61" s="90"/>
      <c r="AW61" s="90"/>
      <c r="AX61" s="90"/>
      <c r="AY61" s="90"/>
      <c r="AZ61" s="114"/>
    </row>
    <row r="62" spans="1:52" s="20" customFormat="1" ht="11.25" customHeight="1" x14ac:dyDescent="0.3">
      <c r="A62" s="31"/>
      <c r="AJ62" s="32"/>
      <c r="AK62" s="35" t="s">
        <v>32</v>
      </c>
      <c r="AL62" s="36"/>
      <c r="AM62" s="36"/>
      <c r="AN62" s="36"/>
      <c r="AO62" s="36"/>
      <c r="AP62" s="29"/>
      <c r="AQ62" s="29"/>
      <c r="AR62" s="30"/>
      <c r="AS62" s="31"/>
      <c r="AZ62" s="32"/>
    </row>
    <row r="63" spans="1:52" s="20" customFormat="1" ht="9.75" customHeight="1" x14ac:dyDescent="0.3">
      <c r="A63" s="34" t="s">
        <v>33</v>
      </c>
      <c r="E63" s="20" t="s">
        <v>45</v>
      </c>
      <c r="Q63" s="18" t="s">
        <v>46</v>
      </c>
      <c r="T63" s="42"/>
      <c r="U63" s="42"/>
      <c r="V63" s="20" t="s">
        <v>50</v>
      </c>
      <c r="X63" s="31"/>
      <c r="AJ63" s="32"/>
      <c r="AK63" s="111" t="s">
        <v>34</v>
      </c>
      <c r="AL63" s="112"/>
      <c r="AM63" s="112"/>
      <c r="AN63" s="112"/>
      <c r="AO63" s="112"/>
      <c r="AP63" s="112"/>
      <c r="AQ63" s="112"/>
      <c r="AR63" s="133"/>
      <c r="AS63" s="113"/>
      <c r="AT63" s="90"/>
      <c r="AU63" s="90"/>
      <c r="AV63" s="90"/>
      <c r="AW63" s="90"/>
      <c r="AX63" s="90"/>
      <c r="AY63" s="90"/>
      <c r="AZ63" s="114"/>
    </row>
    <row r="64" spans="1:52" s="20" customFormat="1" ht="11.25" customHeight="1" x14ac:dyDescent="0.3">
      <c r="A64" s="37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9"/>
      <c r="AK64" s="115" t="s">
        <v>42</v>
      </c>
      <c r="AL64" s="116"/>
      <c r="AM64" s="116"/>
      <c r="AN64" s="116"/>
      <c r="AO64" s="116"/>
      <c r="AP64" s="116"/>
      <c r="AQ64" s="116"/>
      <c r="AR64" s="134"/>
      <c r="AS64" s="37"/>
      <c r="AT64" s="38"/>
      <c r="AU64" s="38"/>
      <c r="AV64" s="38"/>
      <c r="AW64" s="38"/>
      <c r="AX64" s="38"/>
      <c r="AY64" s="38"/>
      <c r="AZ64" s="39"/>
    </row>
    <row r="65" spans="1:52" s="20" customFormat="1" ht="11.25" customHeight="1" x14ac:dyDescent="0.3">
      <c r="AK65" s="24"/>
      <c r="AL65" s="24"/>
      <c r="AM65" s="24"/>
      <c r="AN65" s="24"/>
      <c r="AO65" s="24"/>
    </row>
    <row r="66" spans="1:52" s="20" customFormat="1" ht="11.25" customHeight="1" x14ac:dyDescent="0.3"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K66" s="24"/>
      <c r="AL66" s="117"/>
      <c r="AM66" s="117"/>
      <c r="AN66" s="117"/>
      <c r="AO66" s="117"/>
      <c r="AP66" s="117"/>
      <c r="AQ66" s="117"/>
      <c r="AR66" s="117"/>
      <c r="AS66" s="118"/>
      <c r="AT66" s="118"/>
      <c r="AU66" s="118"/>
      <c r="AV66" s="118"/>
      <c r="AW66" s="118"/>
      <c r="AX66" s="118"/>
      <c r="AY66" s="118"/>
      <c r="AZ66" s="118"/>
    </row>
    <row r="67" spans="1:52" s="20" customFormat="1" ht="11.25" customHeight="1" x14ac:dyDescent="0.3">
      <c r="AK67" s="24"/>
      <c r="AL67" s="117"/>
      <c r="AM67" s="117"/>
      <c r="AN67" s="117"/>
      <c r="AO67" s="117"/>
      <c r="AP67" s="117"/>
      <c r="AQ67" s="117"/>
      <c r="AR67" s="117"/>
      <c r="AS67" s="118"/>
      <c r="AT67" s="118"/>
      <c r="AU67" s="118"/>
      <c r="AV67" s="118"/>
      <c r="AW67" s="118"/>
      <c r="AX67" s="118"/>
      <c r="AY67" s="118"/>
      <c r="AZ67" s="118"/>
    </row>
    <row r="68" spans="1:52" s="20" customFormat="1" ht="11.25" customHeight="1" x14ac:dyDescent="0.3">
      <c r="AK68" s="24"/>
      <c r="AL68" s="117"/>
      <c r="AM68" s="117"/>
      <c r="AN68" s="117"/>
      <c r="AO68" s="117"/>
      <c r="AP68" s="117"/>
      <c r="AQ68" s="117"/>
      <c r="AR68" s="117"/>
      <c r="AS68" s="112"/>
      <c r="AT68" s="112"/>
      <c r="AU68" s="112"/>
      <c r="AV68" s="112"/>
      <c r="AW68" s="112"/>
      <c r="AX68" s="112"/>
      <c r="AY68" s="112"/>
      <c r="AZ68" s="112"/>
    </row>
    <row r="69" spans="1:52" s="20" customFormat="1" ht="11.25" customHeight="1" x14ac:dyDescent="0.3">
      <c r="A69" s="25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23"/>
      <c r="AL69" s="23"/>
      <c r="AM69" s="23"/>
      <c r="AN69" s="23"/>
      <c r="AO69" s="23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</row>
    <row r="70" spans="1:52" s="19" customFormat="1" ht="11.25" customHeight="1" x14ac:dyDescent="0.3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  <c r="AO70" s="131"/>
      <c r="AP70" s="131"/>
      <c r="AQ70" s="131"/>
      <c r="AR70" s="131"/>
      <c r="AS70" s="131"/>
    </row>
    <row r="71" spans="1:52" s="19" customFormat="1" ht="11.25" customHeight="1" x14ac:dyDescent="0.3">
      <c r="A71" s="25"/>
      <c r="AK71" s="23"/>
      <c r="AL71" s="23"/>
      <c r="AM71" s="23"/>
      <c r="AN71" s="23"/>
      <c r="AO71" s="23"/>
    </row>
    <row r="72" spans="1:52" s="19" customFormat="1" ht="11.25" customHeight="1" x14ac:dyDescent="0.3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  <c r="AO72" s="131"/>
      <c r="AP72" s="131"/>
      <c r="AQ72" s="131"/>
      <c r="AR72" s="131"/>
      <c r="AS72" s="131"/>
    </row>
    <row r="73" spans="1:52" s="19" customFormat="1" ht="11.25" customHeight="1" x14ac:dyDescent="0.3">
      <c r="A73" s="25"/>
      <c r="AK73" s="23"/>
      <c r="AL73" s="23"/>
      <c r="AM73" s="23"/>
      <c r="AN73" s="23"/>
      <c r="AO73" s="23"/>
    </row>
    <row r="74" spans="1:52" s="19" customFormat="1" ht="11.25" customHeight="1" x14ac:dyDescent="0.3">
      <c r="A74" s="12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7"/>
      <c r="N74" s="127"/>
      <c r="O74" s="127"/>
      <c r="P74" s="128"/>
      <c r="Q74" s="128"/>
      <c r="R74" s="128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1"/>
      <c r="AL74" s="41"/>
      <c r="AM74" s="41"/>
      <c r="AN74" s="41"/>
      <c r="AO74" s="41"/>
      <c r="AP74" s="40"/>
      <c r="AQ74" s="40"/>
      <c r="AR74" s="40"/>
      <c r="AS74" s="40"/>
    </row>
    <row r="75" spans="1:52" s="19" customFormat="1" ht="8.4" customHeight="1" x14ac:dyDescent="0.3">
      <c r="A75" s="129"/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  <c r="AK75" s="129"/>
      <c r="AL75" s="129"/>
      <c r="AM75" s="129"/>
      <c r="AN75" s="129"/>
      <c r="AO75" s="129"/>
      <c r="AP75" s="129"/>
      <c r="AQ75" s="129"/>
      <c r="AR75" s="129"/>
      <c r="AS75" s="129"/>
    </row>
    <row r="76" spans="1:52" s="19" customFormat="1" ht="8.4" customHeight="1" x14ac:dyDescent="0.3">
      <c r="A76" s="129"/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1"/>
      <c r="AL76" s="41"/>
      <c r="AM76" s="41"/>
      <c r="AN76" s="41"/>
      <c r="AO76" s="41"/>
      <c r="AP76" s="40"/>
      <c r="AQ76" s="40"/>
      <c r="AR76" s="40"/>
      <c r="AS76" s="40"/>
    </row>
    <row r="77" spans="1:52" s="19" customFormat="1" ht="8.4" customHeight="1" x14ac:dyDescent="0.3">
      <c r="AK77" s="23"/>
      <c r="AL77" s="23"/>
      <c r="AM77" s="23"/>
      <c r="AN77" s="23"/>
      <c r="AO77" s="23"/>
    </row>
    <row r="78" spans="1:52" s="19" customFormat="1" ht="11.25" customHeight="1" x14ac:dyDescent="0.3">
      <c r="AK78" s="23"/>
      <c r="AL78" s="23"/>
      <c r="AM78" s="23"/>
      <c r="AN78" s="23"/>
      <c r="AO78" s="23"/>
    </row>
    <row r="79" spans="1:52" s="19" customFormat="1" ht="11.25" customHeight="1" x14ac:dyDescent="0.3">
      <c r="AK79" s="23"/>
      <c r="AL79" s="23"/>
      <c r="AM79" s="23"/>
      <c r="AN79" s="23"/>
      <c r="AO79" s="23"/>
    </row>
    <row r="80" spans="1:52" s="19" customFormat="1" ht="11.25" customHeight="1" x14ac:dyDescent="0.3">
      <c r="AK80" s="23"/>
      <c r="AL80" s="23"/>
      <c r="AM80" s="23"/>
      <c r="AN80" s="23"/>
      <c r="AO80" s="23"/>
    </row>
    <row r="81" spans="37:41" s="19" customFormat="1" ht="11.25" customHeight="1" x14ac:dyDescent="0.3">
      <c r="AK81" s="23"/>
      <c r="AL81" s="23"/>
      <c r="AM81" s="23"/>
      <c r="AN81" s="23"/>
      <c r="AO81" s="23"/>
    </row>
    <row r="82" spans="37:41" s="19" customFormat="1" ht="11.25" customHeight="1" x14ac:dyDescent="0.3">
      <c r="AK82" s="23"/>
      <c r="AL82" s="23"/>
      <c r="AM82" s="23"/>
      <c r="AN82" s="23"/>
      <c r="AO82" s="23"/>
    </row>
    <row r="83" spans="37:41" s="19" customFormat="1" ht="11.25" customHeight="1" x14ac:dyDescent="0.3">
      <c r="AK83" s="23"/>
      <c r="AL83" s="23"/>
      <c r="AM83" s="23"/>
      <c r="AN83" s="23"/>
      <c r="AO83" s="23"/>
    </row>
    <row r="84" spans="37:41" s="19" customFormat="1" ht="11.25" customHeight="1" x14ac:dyDescent="0.3">
      <c r="AK84" s="23"/>
      <c r="AL84" s="23"/>
      <c r="AM84" s="23"/>
      <c r="AN84" s="23"/>
      <c r="AO84" s="23"/>
    </row>
    <row r="85" spans="37:41" s="19" customFormat="1" ht="11.25" customHeight="1" x14ac:dyDescent="0.3">
      <c r="AK85" s="23"/>
      <c r="AL85" s="23"/>
      <c r="AM85" s="23"/>
      <c r="AN85" s="23"/>
      <c r="AO85" s="23"/>
    </row>
    <row r="86" spans="37:41" s="19" customFormat="1" ht="11.25" customHeight="1" x14ac:dyDescent="0.3">
      <c r="AK86" s="23"/>
      <c r="AL86" s="23"/>
      <c r="AM86" s="23"/>
      <c r="AN86" s="23"/>
      <c r="AO86" s="23"/>
    </row>
    <row r="87" spans="37:41" s="19" customFormat="1" ht="11.25" customHeight="1" x14ac:dyDescent="0.3">
      <c r="AK87" s="23"/>
      <c r="AL87" s="23"/>
      <c r="AM87" s="23"/>
      <c r="AN87" s="23"/>
      <c r="AO87" s="23"/>
    </row>
    <row r="88" spans="37:41" s="19" customFormat="1" ht="11.25" customHeight="1" x14ac:dyDescent="0.3">
      <c r="AK88" s="23"/>
      <c r="AL88" s="23"/>
      <c r="AM88" s="23"/>
      <c r="AN88" s="23"/>
      <c r="AO88" s="23"/>
    </row>
    <row r="89" spans="37:41" s="19" customFormat="1" ht="11.25" customHeight="1" x14ac:dyDescent="0.3">
      <c r="AK89" s="23"/>
      <c r="AL89" s="23"/>
      <c r="AM89" s="23"/>
      <c r="AN89" s="23"/>
      <c r="AO89" s="23"/>
    </row>
    <row r="90" spans="37:41" s="19" customFormat="1" ht="11.25" customHeight="1" x14ac:dyDescent="0.3">
      <c r="AK90" s="23"/>
      <c r="AL90" s="23"/>
      <c r="AM90" s="23"/>
      <c r="AN90" s="23"/>
      <c r="AO90" s="23"/>
    </row>
    <row r="91" spans="37:41" s="19" customFormat="1" ht="11.25" customHeight="1" x14ac:dyDescent="0.3">
      <c r="AK91" s="23"/>
      <c r="AL91" s="23"/>
      <c r="AM91" s="23"/>
      <c r="AN91" s="23"/>
      <c r="AO91" s="23"/>
    </row>
    <row r="92" spans="37:41" s="19" customFormat="1" ht="11.25" customHeight="1" x14ac:dyDescent="0.3">
      <c r="AK92" s="23"/>
      <c r="AL92" s="23"/>
      <c r="AM92" s="23"/>
      <c r="AN92" s="23"/>
      <c r="AO92" s="23"/>
    </row>
    <row r="93" spans="37:41" s="19" customFormat="1" ht="11.25" customHeight="1" x14ac:dyDescent="0.3">
      <c r="AK93" s="23"/>
      <c r="AL93" s="23"/>
      <c r="AM93" s="23"/>
      <c r="AN93" s="23"/>
      <c r="AO93" s="23"/>
    </row>
    <row r="94" spans="37:41" s="19" customFormat="1" ht="11.25" customHeight="1" x14ac:dyDescent="0.3">
      <c r="AK94" s="23"/>
      <c r="AL94" s="23"/>
      <c r="AM94" s="23"/>
      <c r="AN94" s="23"/>
      <c r="AO94" s="23"/>
    </row>
    <row r="95" spans="37:41" s="19" customFormat="1" ht="11.25" customHeight="1" x14ac:dyDescent="0.3">
      <c r="AK95" s="23"/>
      <c r="AL95" s="23"/>
      <c r="AM95" s="23"/>
      <c r="AN95" s="23"/>
      <c r="AO95" s="23"/>
    </row>
    <row r="96" spans="37:41" s="19" customFormat="1" ht="11.25" customHeight="1" x14ac:dyDescent="0.3">
      <c r="AK96" s="23"/>
      <c r="AL96" s="23"/>
      <c r="AM96" s="23"/>
      <c r="AN96" s="23"/>
      <c r="AO96" s="23"/>
    </row>
    <row r="97" spans="37:41" s="19" customFormat="1" ht="11.25" customHeight="1" x14ac:dyDescent="0.3">
      <c r="AK97" s="23"/>
      <c r="AL97" s="23"/>
      <c r="AM97" s="23"/>
      <c r="AN97" s="23"/>
      <c r="AO97" s="23"/>
    </row>
    <row r="98" spans="37:41" s="19" customFormat="1" ht="11.25" customHeight="1" x14ac:dyDescent="0.3">
      <c r="AK98" s="23"/>
      <c r="AL98" s="23"/>
      <c r="AM98" s="23"/>
      <c r="AN98" s="23"/>
      <c r="AO98" s="23"/>
    </row>
    <row r="99" spans="37:41" s="19" customFormat="1" ht="11.25" customHeight="1" x14ac:dyDescent="0.3">
      <c r="AK99" s="23"/>
      <c r="AL99" s="23"/>
      <c r="AM99" s="23"/>
      <c r="AN99" s="23"/>
      <c r="AO99" s="23"/>
    </row>
    <row r="100" spans="37:41" s="19" customFormat="1" ht="11.25" customHeight="1" x14ac:dyDescent="0.3">
      <c r="AK100" s="23"/>
      <c r="AL100" s="23"/>
      <c r="AM100" s="23"/>
      <c r="AN100" s="23"/>
      <c r="AO100" s="23"/>
    </row>
    <row r="101" spans="37:41" s="19" customFormat="1" ht="11.25" customHeight="1" x14ac:dyDescent="0.3">
      <c r="AK101" s="23"/>
      <c r="AL101" s="23"/>
      <c r="AM101" s="23"/>
      <c r="AN101" s="23"/>
      <c r="AO101" s="23"/>
    </row>
    <row r="102" spans="37:41" s="19" customFormat="1" ht="11.25" customHeight="1" x14ac:dyDescent="0.3">
      <c r="AK102" s="23"/>
      <c r="AL102" s="23"/>
      <c r="AM102" s="23"/>
      <c r="AN102" s="23"/>
      <c r="AO102" s="23"/>
    </row>
    <row r="103" spans="37:41" s="19" customFormat="1" ht="11.25" customHeight="1" x14ac:dyDescent="0.3">
      <c r="AK103" s="23"/>
      <c r="AL103" s="23"/>
      <c r="AM103" s="23"/>
      <c r="AN103" s="23"/>
      <c r="AO103" s="23"/>
    </row>
    <row r="104" spans="37:41" s="19" customFormat="1" ht="11.25" customHeight="1" x14ac:dyDescent="0.3">
      <c r="AK104" s="23"/>
      <c r="AL104" s="23"/>
      <c r="AM104" s="23"/>
      <c r="AN104" s="23"/>
      <c r="AO104" s="23"/>
    </row>
    <row r="105" spans="37:41" s="19" customFormat="1" ht="11.25" customHeight="1" x14ac:dyDescent="0.3">
      <c r="AK105" s="23"/>
      <c r="AL105" s="23"/>
      <c r="AM105" s="23"/>
      <c r="AN105" s="23"/>
      <c r="AO105" s="23"/>
    </row>
    <row r="106" spans="37:41" s="19" customFormat="1" ht="11.25" customHeight="1" x14ac:dyDescent="0.3">
      <c r="AK106" s="23"/>
      <c r="AL106" s="23"/>
      <c r="AM106" s="23"/>
      <c r="AN106" s="23"/>
      <c r="AO106" s="23"/>
    </row>
    <row r="107" spans="37:41" s="19" customFormat="1" ht="11.25" customHeight="1" x14ac:dyDescent="0.3">
      <c r="AK107" s="23"/>
      <c r="AL107" s="23"/>
      <c r="AM107" s="23"/>
      <c r="AN107" s="23"/>
      <c r="AO107" s="23"/>
    </row>
    <row r="108" spans="37:41" s="19" customFormat="1" ht="11.25" customHeight="1" x14ac:dyDescent="0.3">
      <c r="AK108" s="23"/>
      <c r="AL108" s="23"/>
      <c r="AM108" s="23"/>
      <c r="AN108" s="23"/>
      <c r="AO108" s="23"/>
    </row>
    <row r="109" spans="37:41" s="19" customFormat="1" ht="11.25" customHeight="1" x14ac:dyDescent="0.3">
      <c r="AK109" s="23"/>
      <c r="AL109" s="23"/>
      <c r="AM109" s="23"/>
      <c r="AN109" s="23"/>
      <c r="AO109" s="23"/>
    </row>
    <row r="110" spans="37:41" s="19" customFormat="1" ht="11.25" customHeight="1" x14ac:dyDescent="0.3">
      <c r="AK110" s="23"/>
      <c r="AL110" s="23"/>
      <c r="AM110" s="23"/>
      <c r="AN110" s="23"/>
      <c r="AO110" s="23"/>
    </row>
    <row r="111" spans="37:41" s="19" customFormat="1" ht="11.25" customHeight="1" x14ac:dyDescent="0.3">
      <c r="AK111" s="23"/>
      <c r="AL111" s="23"/>
      <c r="AM111" s="23"/>
      <c r="AN111" s="23"/>
      <c r="AO111" s="23"/>
    </row>
    <row r="112" spans="37:41" s="19" customFormat="1" ht="11.25" customHeight="1" x14ac:dyDescent="0.3">
      <c r="AK112" s="23"/>
      <c r="AL112" s="23"/>
      <c r="AM112" s="23"/>
      <c r="AN112" s="23"/>
      <c r="AO112" s="23"/>
    </row>
    <row r="113" spans="37:41" s="19" customFormat="1" ht="11.25" customHeight="1" x14ac:dyDescent="0.3">
      <c r="AK113" s="23"/>
      <c r="AL113" s="23"/>
      <c r="AM113" s="23"/>
      <c r="AN113" s="23"/>
      <c r="AO113" s="23"/>
    </row>
    <row r="114" spans="37:41" s="19" customFormat="1" ht="11.25" customHeight="1" x14ac:dyDescent="0.3">
      <c r="AK114" s="23"/>
      <c r="AL114" s="23"/>
      <c r="AM114" s="23"/>
      <c r="AN114" s="23"/>
      <c r="AO114" s="23"/>
    </row>
    <row r="115" spans="37:41" s="19" customFormat="1" ht="11.25" customHeight="1" x14ac:dyDescent="0.3">
      <c r="AK115" s="23"/>
      <c r="AL115" s="23"/>
      <c r="AM115" s="23"/>
      <c r="AN115" s="23"/>
      <c r="AO115" s="23"/>
    </row>
    <row r="116" spans="37:41" s="19" customFormat="1" ht="11.25" customHeight="1" x14ac:dyDescent="0.3">
      <c r="AK116" s="23"/>
      <c r="AL116" s="23"/>
      <c r="AM116" s="23"/>
      <c r="AN116" s="23"/>
      <c r="AO116" s="23"/>
    </row>
    <row r="117" spans="37:41" s="19" customFormat="1" ht="11.25" customHeight="1" x14ac:dyDescent="0.3">
      <c r="AK117" s="23"/>
      <c r="AL117" s="23"/>
      <c r="AM117" s="23"/>
      <c r="AN117" s="23"/>
      <c r="AO117" s="23"/>
    </row>
    <row r="118" spans="37:41" s="19" customFormat="1" ht="11.25" customHeight="1" x14ac:dyDescent="0.3">
      <c r="AK118" s="23"/>
      <c r="AL118" s="23"/>
      <c r="AM118" s="23"/>
      <c r="AN118" s="23"/>
      <c r="AO118" s="23"/>
    </row>
    <row r="119" spans="37:41" s="19" customFormat="1" ht="11.25" customHeight="1" x14ac:dyDescent="0.3">
      <c r="AK119" s="23"/>
      <c r="AL119" s="23"/>
      <c r="AM119" s="23"/>
      <c r="AN119" s="23"/>
      <c r="AO119" s="23"/>
    </row>
    <row r="120" spans="37:41" s="19" customFormat="1" ht="11.25" customHeight="1" x14ac:dyDescent="0.3">
      <c r="AK120" s="23"/>
      <c r="AL120" s="23"/>
      <c r="AM120" s="23"/>
      <c r="AN120" s="23"/>
      <c r="AO120" s="23"/>
    </row>
    <row r="121" spans="37:41" s="19" customFormat="1" ht="11.25" customHeight="1" x14ac:dyDescent="0.3">
      <c r="AK121" s="23"/>
      <c r="AL121" s="23"/>
      <c r="AM121" s="23"/>
      <c r="AN121" s="23"/>
      <c r="AO121" s="23"/>
    </row>
    <row r="122" spans="37:41" s="19" customFormat="1" ht="11.25" customHeight="1" x14ac:dyDescent="0.3">
      <c r="AK122" s="23"/>
      <c r="AL122" s="23"/>
      <c r="AM122" s="23"/>
      <c r="AN122" s="23"/>
      <c r="AO122" s="23"/>
    </row>
    <row r="123" spans="37:41" s="19" customFormat="1" ht="11.25" customHeight="1" x14ac:dyDescent="0.3">
      <c r="AK123" s="23"/>
      <c r="AL123" s="23"/>
      <c r="AM123" s="23"/>
      <c r="AN123" s="23"/>
      <c r="AO123" s="23"/>
    </row>
    <row r="124" spans="37:41" s="19" customFormat="1" ht="11.25" customHeight="1" x14ac:dyDescent="0.3">
      <c r="AK124" s="23"/>
      <c r="AL124" s="23"/>
      <c r="AM124" s="23"/>
      <c r="AN124" s="23"/>
      <c r="AO124" s="23"/>
    </row>
    <row r="125" spans="37:41" s="19" customFormat="1" ht="11.25" customHeight="1" x14ac:dyDescent="0.3">
      <c r="AK125" s="23"/>
      <c r="AL125" s="23"/>
      <c r="AM125" s="23"/>
      <c r="AN125" s="23"/>
      <c r="AO125" s="23"/>
    </row>
    <row r="126" spans="37:41" s="19" customFormat="1" ht="11.25" customHeight="1" x14ac:dyDescent="0.3">
      <c r="AK126" s="23"/>
      <c r="AL126" s="23"/>
      <c r="AM126" s="23"/>
      <c r="AN126" s="23"/>
      <c r="AO126" s="23"/>
    </row>
    <row r="127" spans="37:41" s="19" customFormat="1" ht="11.25" customHeight="1" x14ac:dyDescent="0.3">
      <c r="AK127" s="23"/>
      <c r="AL127" s="23"/>
      <c r="AM127" s="23"/>
      <c r="AN127" s="23"/>
      <c r="AO127" s="23"/>
    </row>
    <row r="128" spans="37:41" s="19" customFormat="1" ht="11.25" customHeight="1" x14ac:dyDescent="0.3">
      <c r="AK128" s="23"/>
      <c r="AL128" s="23"/>
      <c r="AM128" s="23"/>
      <c r="AN128" s="23"/>
      <c r="AO128" s="23"/>
    </row>
    <row r="129" spans="37:41" s="19" customFormat="1" ht="11.25" customHeight="1" x14ac:dyDescent="0.3">
      <c r="AK129" s="23"/>
      <c r="AL129" s="23"/>
      <c r="AM129" s="23"/>
      <c r="AN129" s="23"/>
      <c r="AO129" s="23"/>
    </row>
    <row r="130" spans="37:41" s="19" customFormat="1" ht="11.25" customHeight="1" x14ac:dyDescent="0.3">
      <c r="AK130" s="23"/>
      <c r="AL130" s="23"/>
      <c r="AM130" s="23"/>
      <c r="AN130" s="23"/>
      <c r="AO130" s="23"/>
    </row>
    <row r="131" spans="37:41" s="19" customFormat="1" ht="11.25" customHeight="1" x14ac:dyDescent="0.3">
      <c r="AK131" s="23"/>
      <c r="AL131" s="23"/>
      <c r="AM131" s="23"/>
      <c r="AN131" s="23"/>
      <c r="AO131" s="23"/>
    </row>
    <row r="132" spans="37:41" s="19" customFormat="1" ht="11.25" customHeight="1" x14ac:dyDescent="0.3">
      <c r="AK132" s="23"/>
      <c r="AL132" s="23"/>
      <c r="AM132" s="23"/>
      <c r="AN132" s="23"/>
      <c r="AO132" s="23"/>
    </row>
    <row r="133" spans="37:41" s="19" customFormat="1" ht="11.25" customHeight="1" x14ac:dyDescent="0.3">
      <c r="AK133" s="23"/>
      <c r="AL133" s="23"/>
      <c r="AM133" s="23"/>
      <c r="AN133" s="23"/>
      <c r="AO133" s="23"/>
    </row>
    <row r="134" spans="37:41" s="19" customFormat="1" ht="11.25" customHeight="1" x14ac:dyDescent="0.3">
      <c r="AK134" s="23"/>
      <c r="AL134" s="23"/>
      <c r="AM134" s="23"/>
      <c r="AN134" s="23"/>
      <c r="AO134" s="23"/>
    </row>
    <row r="135" spans="37:41" s="19" customFormat="1" ht="11.25" customHeight="1" x14ac:dyDescent="0.3">
      <c r="AK135" s="23"/>
      <c r="AL135" s="23"/>
      <c r="AM135" s="23"/>
      <c r="AN135" s="23"/>
      <c r="AO135" s="23"/>
    </row>
    <row r="136" spans="37:41" s="19" customFormat="1" ht="11.25" customHeight="1" x14ac:dyDescent="0.3">
      <c r="AK136" s="23"/>
      <c r="AL136" s="23"/>
      <c r="AM136" s="23"/>
      <c r="AN136" s="23"/>
      <c r="AO136" s="23"/>
    </row>
    <row r="137" spans="37:41" s="19" customFormat="1" ht="11.25" customHeight="1" x14ac:dyDescent="0.3">
      <c r="AK137" s="23"/>
      <c r="AL137" s="23"/>
      <c r="AM137" s="23"/>
      <c r="AN137" s="23"/>
      <c r="AO137" s="23"/>
    </row>
    <row r="138" spans="37:41" s="19" customFormat="1" ht="11.25" customHeight="1" x14ac:dyDescent="0.3">
      <c r="AK138" s="23"/>
      <c r="AL138" s="23"/>
      <c r="AM138" s="23"/>
      <c r="AN138" s="23"/>
      <c r="AO138" s="23"/>
    </row>
    <row r="139" spans="37:41" s="19" customFormat="1" ht="11.25" customHeight="1" x14ac:dyDescent="0.3">
      <c r="AK139" s="23"/>
      <c r="AL139" s="23"/>
      <c r="AM139" s="23"/>
      <c r="AN139" s="23"/>
      <c r="AO139" s="23"/>
    </row>
    <row r="140" spans="37:41" s="19" customFormat="1" ht="11.25" customHeight="1" x14ac:dyDescent="0.3">
      <c r="AK140" s="23"/>
      <c r="AL140" s="23"/>
      <c r="AM140" s="23"/>
      <c r="AN140" s="23"/>
      <c r="AO140" s="23"/>
    </row>
    <row r="141" spans="37:41" s="19" customFormat="1" ht="11.25" customHeight="1" x14ac:dyDescent="0.3">
      <c r="AK141" s="23"/>
      <c r="AL141" s="23"/>
      <c r="AM141" s="23"/>
      <c r="AN141" s="23"/>
      <c r="AO141" s="23"/>
    </row>
    <row r="142" spans="37:41" s="19" customFormat="1" ht="11.25" customHeight="1" x14ac:dyDescent="0.3">
      <c r="AK142" s="23"/>
      <c r="AL142" s="23"/>
      <c r="AM142" s="23"/>
      <c r="AN142" s="23"/>
      <c r="AO142" s="23"/>
    </row>
    <row r="143" spans="37:41" s="19" customFormat="1" ht="11.25" customHeight="1" x14ac:dyDescent="0.3">
      <c r="AK143" s="23"/>
      <c r="AL143" s="23"/>
      <c r="AM143" s="23"/>
      <c r="AN143" s="23"/>
      <c r="AO143" s="23"/>
    </row>
    <row r="144" spans="37:41" s="19" customFormat="1" ht="11.25" customHeight="1" x14ac:dyDescent="0.3">
      <c r="AK144" s="23"/>
      <c r="AL144" s="23"/>
      <c r="AM144" s="23"/>
      <c r="AN144" s="23"/>
      <c r="AO144" s="23"/>
    </row>
    <row r="145" spans="37:41" s="19" customFormat="1" ht="11.25" customHeight="1" x14ac:dyDescent="0.3">
      <c r="AK145" s="23"/>
      <c r="AL145" s="23"/>
      <c r="AM145" s="23"/>
      <c r="AN145" s="23"/>
      <c r="AO145" s="23"/>
    </row>
    <row r="146" spans="37:41" s="19" customFormat="1" ht="11.25" customHeight="1" x14ac:dyDescent="0.3">
      <c r="AK146" s="23"/>
      <c r="AL146" s="23"/>
      <c r="AM146" s="23"/>
      <c r="AN146" s="23"/>
      <c r="AO146" s="23"/>
    </row>
    <row r="147" spans="37:41" s="19" customFormat="1" ht="11.25" customHeight="1" x14ac:dyDescent="0.3">
      <c r="AK147" s="23"/>
      <c r="AL147" s="23"/>
      <c r="AM147" s="23"/>
      <c r="AN147" s="23"/>
      <c r="AO147" s="23"/>
    </row>
    <row r="148" spans="37:41" s="19" customFormat="1" ht="11.25" customHeight="1" x14ac:dyDescent="0.3">
      <c r="AK148" s="23"/>
      <c r="AL148" s="23"/>
      <c r="AM148" s="23"/>
      <c r="AN148" s="23"/>
      <c r="AO148" s="23"/>
    </row>
    <row r="149" spans="37:41" s="19" customFormat="1" ht="11.25" customHeight="1" x14ac:dyDescent="0.3">
      <c r="AK149" s="23"/>
      <c r="AL149" s="23"/>
      <c r="AM149" s="23"/>
      <c r="AN149" s="23"/>
      <c r="AO149" s="23"/>
    </row>
    <row r="150" spans="37:41" s="19" customFormat="1" ht="11.25" customHeight="1" x14ac:dyDescent="0.3">
      <c r="AK150" s="23"/>
      <c r="AL150" s="23"/>
      <c r="AM150" s="23"/>
      <c r="AN150" s="23"/>
      <c r="AO150" s="23"/>
    </row>
    <row r="151" spans="37:41" s="19" customFormat="1" ht="11.25" customHeight="1" x14ac:dyDescent="0.3">
      <c r="AK151" s="23"/>
      <c r="AL151" s="23"/>
      <c r="AM151" s="23"/>
      <c r="AN151" s="23"/>
      <c r="AO151" s="23"/>
    </row>
    <row r="152" spans="37:41" s="19" customFormat="1" ht="11.25" customHeight="1" x14ac:dyDescent="0.3">
      <c r="AK152" s="23"/>
      <c r="AL152" s="23"/>
      <c r="AM152" s="23"/>
      <c r="AN152" s="23"/>
      <c r="AO152" s="23"/>
    </row>
    <row r="153" spans="37:41" s="19" customFormat="1" ht="11.25" customHeight="1" x14ac:dyDescent="0.3">
      <c r="AK153" s="23"/>
      <c r="AL153" s="23"/>
      <c r="AM153" s="23"/>
      <c r="AN153" s="23"/>
      <c r="AO153" s="23"/>
    </row>
    <row r="154" spans="37:41" s="19" customFormat="1" ht="11.25" customHeight="1" x14ac:dyDescent="0.3">
      <c r="AK154" s="23"/>
      <c r="AL154" s="23"/>
      <c r="AM154" s="23"/>
      <c r="AN154" s="23"/>
      <c r="AO154" s="23"/>
    </row>
    <row r="155" spans="37:41" s="19" customFormat="1" ht="11.25" customHeight="1" x14ac:dyDescent="0.3">
      <c r="AK155" s="23"/>
      <c r="AL155" s="23"/>
      <c r="AM155" s="23"/>
      <c r="AN155" s="23"/>
      <c r="AO155" s="23"/>
    </row>
    <row r="156" spans="37:41" s="19" customFormat="1" ht="11.25" customHeight="1" x14ac:dyDescent="0.3">
      <c r="AK156" s="23"/>
      <c r="AL156" s="23"/>
      <c r="AM156" s="23"/>
      <c r="AN156" s="23"/>
      <c r="AO156" s="23"/>
    </row>
    <row r="157" spans="37:41" s="19" customFormat="1" ht="11.25" customHeight="1" x14ac:dyDescent="0.3">
      <c r="AK157" s="23"/>
      <c r="AL157" s="23"/>
      <c r="AM157" s="23"/>
      <c r="AN157" s="23"/>
      <c r="AO157" s="23"/>
    </row>
    <row r="158" spans="37:41" s="19" customFormat="1" ht="11.25" customHeight="1" x14ac:dyDescent="0.3">
      <c r="AK158" s="23"/>
      <c r="AL158" s="23"/>
      <c r="AM158" s="23"/>
      <c r="AN158" s="23"/>
      <c r="AO158" s="23"/>
    </row>
    <row r="159" spans="37:41" s="19" customFormat="1" ht="11.25" customHeight="1" x14ac:dyDescent="0.3">
      <c r="AK159" s="23"/>
      <c r="AL159" s="23"/>
      <c r="AM159" s="23"/>
      <c r="AN159" s="23"/>
      <c r="AO159" s="23"/>
    </row>
    <row r="160" spans="37:41" s="19" customFormat="1" ht="11.25" customHeight="1" x14ac:dyDescent="0.3">
      <c r="AK160" s="23"/>
      <c r="AL160" s="23"/>
      <c r="AM160" s="23"/>
      <c r="AN160" s="23"/>
      <c r="AO160" s="23"/>
    </row>
    <row r="161" spans="37:41" s="19" customFormat="1" ht="11.25" customHeight="1" x14ac:dyDescent="0.3">
      <c r="AK161" s="23"/>
      <c r="AL161" s="23"/>
      <c r="AM161" s="23"/>
      <c r="AN161" s="23"/>
      <c r="AO161" s="23"/>
    </row>
    <row r="162" spans="37:41" s="19" customFormat="1" ht="11.25" customHeight="1" x14ac:dyDescent="0.3">
      <c r="AK162" s="23"/>
      <c r="AL162" s="23"/>
      <c r="AM162" s="23"/>
      <c r="AN162" s="23"/>
      <c r="AO162" s="23"/>
    </row>
    <row r="163" spans="37:41" s="19" customFormat="1" ht="11.25" customHeight="1" x14ac:dyDescent="0.3">
      <c r="AK163" s="23"/>
      <c r="AL163" s="23"/>
      <c r="AM163" s="23"/>
      <c r="AN163" s="23"/>
      <c r="AO163" s="23"/>
    </row>
    <row r="164" spans="37:41" s="19" customFormat="1" ht="11.25" customHeight="1" x14ac:dyDescent="0.3">
      <c r="AK164" s="23"/>
      <c r="AL164" s="23"/>
      <c r="AM164" s="23"/>
      <c r="AN164" s="23"/>
      <c r="AO164" s="23"/>
    </row>
    <row r="165" spans="37:41" s="19" customFormat="1" ht="11.25" customHeight="1" x14ac:dyDescent="0.3">
      <c r="AK165" s="23"/>
      <c r="AL165" s="23"/>
      <c r="AM165" s="23"/>
      <c r="AN165" s="23"/>
      <c r="AO165" s="23"/>
    </row>
    <row r="166" spans="37:41" s="19" customFormat="1" ht="11.25" customHeight="1" x14ac:dyDescent="0.3">
      <c r="AK166" s="23"/>
      <c r="AL166" s="23"/>
      <c r="AM166" s="23"/>
      <c r="AN166" s="23"/>
      <c r="AO166" s="23"/>
    </row>
    <row r="167" spans="37:41" s="19" customFormat="1" ht="11.25" customHeight="1" x14ac:dyDescent="0.3">
      <c r="AK167" s="23"/>
      <c r="AL167" s="23"/>
      <c r="AM167" s="23"/>
      <c r="AN167" s="23"/>
      <c r="AO167" s="23"/>
    </row>
    <row r="168" spans="37:41" s="19" customFormat="1" ht="11.25" customHeight="1" x14ac:dyDescent="0.3">
      <c r="AK168" s="23"/>
      <c r="AL168" s="23"/>
      <c r="AM168" s="23"/>
      <c r="AN168" s="23"/>
      <c r="AO168" s="23"/>
    </row>
    <row r="169" spans="37:41" s="19" customFormat="1" ht="11.25" customHeight="1" x14ac:dyDescent="0.3">
      <c r="AK169" s="23"/>
      <c r="AL169" s="23"/>
      <c r="AM169" s="23"/>
      <c r="AN169" s="23"/>
      <c r="AO169" s="23"/>
    </row>
    <row r="170" spans="37:41" s="19" customFormat="1" ht="11.25" customHeight="1" x14ac:dyDescent="0.3">
      <c r="AK170" s="23"/>
      <c r="AL170" s="23"/>
      <c r="AM170" s="23"/>
      <c r="AN170" s="23"/>
      <c r="AO170" s="23"/>
    </row>
    <row r="171" spans="37:41" s="19" customFormat="1" ht="11.25" customHeight="1" x14ac:dyDescent="0.3">
      <c r="AK171" s="23"/>
      <c r="AL171" s="23"/>
      <c r="AM171" s="23"/>
      <c r="AN171" s="23"/>
      <c r="AO171" s="23"/>
    </row>
    <row r="172" spans="37:41" s="19" customFormat="1" ht="11.25" customHeight="1" x14ac:dyDescent="0.3">
      <c r="AK172" s="23"/>
      <c r="AL172" s="23"/>
      <c r="AM172" s="23"/>
      <c r="AN172" s="23"/>
      <c r="AO172" s="23"/>
    </row>
    <row r="173" spans="37:41" s="19" customFormat="1" ht="11.25" customHeight="1" x14ac:dyDescent="0.3">
      <c r="AK173" s="23"/>
      <c r="AL173" s="23"/>
      <c r="AM173" s="23"/>
      <c r="AN173" s="23"/>
      <c r="AO173" s="23"/>
    </row>
    <row r="174" spans="37:41" s="19" customFormat="1" ht="11.25" customHeight="1" x14ac:dyDescent="0.3">
      <c r="AK174" s="23"/>
      <c r="AL174" s="23"/>
      <c r="AM174" s="23"/>
      <c r="AN174" s="23"/>
      <c r="AO174" s="23"/>
    </row>
    <row r="175" spans="37:41" s="19" customFormat="1" ht="11.25" customHeight="1" x14ac:dyDescent="0.3">
      <c r="AK175" s="23"/>
      <c r="AL175" s="23"/>
      <c r="AM175" s="23"/>
      <c r="AN175" s="23"/>
      <c r="AO175" s="23"/>
    </row>
    <row r="176" spans="37:41" s="19" customFormat="1" ht="11.25" customHeight="1" x14ac:dyDescent="0.3">
      <c r="AK176" s="23"/>
      <c r="AL176" s="23"/>
      <c r="AM176" s="23"/>
      <c r="AN176" s="23"/>
      <c r="AO176" s="23"/>
    </row>
    <row r="177" spans="37:41" s="19" customFormat="1" ht="11.25" customHeight="1" x14ac:dyDescent="0.3">
      <c r="AK177" s="23"/>
      <c r="AL177" s="23"/>
      <c r="AM177" s="23"/>
      <c r="AN177" s="23"/>
      <c r="AO177" s="23"/>
    </row>
    <row r="178" spans="37:41" s="19" customFormat="1" ht="11.25" customHeight="1" x14ac:dyDescent="0.3">
      <c r="AK178" s="23"/>
      <c r="AL178" s="23"/>
      <c r="AM178" s="23"/>
      <c r="AN178" s="23"/>
      <c r="AO178" s="23"/>
    </row>
    <row r="179" spans="37:41" s="19" customFormat="1" ht="11.25" customHeight="1" x14ac:dyDescent="0.3">
      <c r="AK179" s="23"/>
      <c r="AL179" s="23"/>
      <c r="AM179" s="23"/>
      <c r="AN179" s="23"/>
      <c r="AO179" s="23"/>
    </row>
    <row r="180" spans="37:41" s="19" customFormat="1" ht="11.25" customHeight="1" x14ac:dyDescent="0.3">
      <c r="AK180" s="23"/>
      <c r="AL180" s="23"/>
      <c r="AM180" s="23"/>
      <c r="AN180" s="23"/>
      <c r="AO180" s="23"/>
    </row>
    <row r="181" spans="37:41" s="19" customFormat="1" ht="11.25" customHeight="1" x14ac:dyDescent="0.3">
      <c r="AK181" s="23"/>
      <c r="AL181" s="23"/>
      <c r="AM181" s="23"/>
      <c r="AN181" s="23"/>
      <c r="AO181" s="23"/>
    </row>
    <row r="182" spans="37:41" s="19" customFormat="1" ht="11.25" customHeight="1" x14ac:dyDescent="0.3">
      <c r="AK182" s="23"/>
      <c r="AL182" s="23"/>
      <c r="AM182" s="23"/>
      <c r="AN182" s="23"/>
      <c r="AO182" s="23"/>
    </row>
    <row r="183" spans="37:41" s="19" customFormat="1" ht="11.25" customHeight="1" x14ac:dyDescent="0.3">
      <c r="AK183" s="23"/>
      <c r="AL183" s="23"/>
      <c r="AM183" s="23"/>
      <c r="AN183" s="23"/>
      <c r="AO183" s="23"/>
    </row>
    <row r="184" spans="37:41" s="19" customFormat="1" ht="11.25" customHeight="1" x14ac:dyDescent="0.3">
      <c r="AK184" s="23"/>
      <c r="AL184" s="23"/>
      <c r="AM184" s="23"/>
      <c r="AN184" s="23"/>
      <c r="AO184" s="23"/>
    </row>
    <row r="185" spans="37:41" s="19" customFormat="1" ht="11.25" customHeight="1" x14ac:dyDescent="0.3">
      <c r="AK185" s="23"/>
      <c r="AL185" s="23"/>
      <c r="AM185" s="23"/>
      <c r="AN185" s="23"/>
      <c r="AO185" s="23"/>
    </row>
    <row r="186" spans="37:41" s="19" customFormat="1" ht="11.25" customHeight="1" x14ac:dyDescent="0.3">
      <c r="AK186" s="23"/>
      <c r="AL186" s="23"/>
      <c r="AM186" s="23"/>
      <c r="AN186" s="23"/>
      <c r="AO186" s="23"/>
    </row>
    <row r="187" spans="37:41" s="19" customFormat="1" ht="11.25" customHeight="1" x14ac:dyDescent="0.3">
      <c r="AK187" s="23"/>
      <c r="AL187" s="23"/>
      <c r="AM187" s="23"/>
      <c r="AN187" s="23"/>
      <c r="AO187" s="23"/>
    </row>
    <row r="188" spans="37:41" s="19" customFormat="1" ht="11.25" customHeight="1" x14ac:dyDescent="0.3">
      <c r="AK188" s="23"/>
      <c r="AL188" s="23"/>
      <c r="AM188" s="23"/>
      <c r="AN188" s="23"/>
      <c r="AO188" s="23"/>
    </row>
    <row r="189" spans="37:41" s="19" customFormat="1" ht="11.25" customHeight="1" x14ac:dyDescent="0.3">
      <c r="AK189" s="23"/>
      <c r="AL189" s="23"/>
      <c r="AM189" s="23"/>
      <c r="AN189" s="23"/>
      <c r="AO189" s="23"/>
    </row>
    <row r="190" spans="37:41" s="19" customFormat="1" ht="11.25" customHeight="1" x14ac:dyDescent="0.3">
      <c r="AK190" s="23"/>
      <c r="AL190" s="23"/>
      <c r="AM190" s="23"/>
      <c r="AN190" s="23"/>
      <c r="AO190" s="23"/>
    </row>
    <row r="191" spans="37:41" s="19" customFormat="1" ht="11.25" customHeight="1" x14ac:dyDescent="0.3">
      <c r="AK191" s="23"/>
      <c r="AL191" s="23"/>
      <c r="AM191" s="23"/>
      <c r="AN191" s="23"/>
      <c r="AO191" s="23"/>
    </row>
    <row r="192" spans="37:41" s="19" customFormat="1" ht="11.25" customHeight="1" x14ac:dyDescent="0.3">
      <c r="AK192" s="23"/>
      <c r="AL192" s="23"/>
      <c r="AM192" s="23"/>
      <c r="AN192" s="23"/>
      <c r="AO192" s="23"/>
    </row>
    <row r="193" spans="37:41" s="19" customFormat="1" ht="11.25" customHeight="1" x14ac:dyDescent="0.3">
      <c r="AK193" s="23"/>
      <c r="AL193" s="23"/>
      <c r="AM193" s="23"/>
      <c r="AN193" s="23"/>
      <c r="AO193" s="23"/>
    </row>
    <row r="194" spans="37:41" s="19" customFormat="1" ht="11.25" customHeight="1" x14ac:dyDescent="0.3">
      <c r="AK194" s="23"/>
      <c r="AL194" s="23"/>
      <c r="AM194" s="23"/>
      <c r="AN194" s="23"/>
      <c r="AO194" s="23"/>
    </row>
    <row r="195" spans="37:41" s="19" customFormat="1" ht="11.25" customHeight="1" x14ac:dyDescent="0.3">
      <c r="AK195" s="23"/>
      <c r="AL195" s="23"/>
      <c r="AM195" s="23"/>
      <c r="AN195" s="23"/>
      <c r="AO195" s="23"/>
    </row>
    <row r="196" spans="37:41" s="19" customFormat="1" ht="11.25" customHeight="1" x14ac:dyDescent="0.3">
      <c r="AK196" s="23"/>
      <c r="AL196" s="23"/>
      <c r="AM196" s="23"/>
      <c r="AN196" s="23"/>
      <c r="AO196" s="23"/>
    </row>
    <row r="197" spans="37:41" s="19" customFormat="1" ht="11.25" customHeight="1" x14ac:dyDescent="0.3">
      <c r="AK197" s="23"/>
      <c r="AL197" s="23"/>
      <c r="AM197" s="23"/>
      <c r="AN197" s="23"/>
      <c r="AO197" s="23"/>
    </row>
    <row r="198" spans="37:41" s="19" customFormat="1" ht="11.25" customHeight="1" x14ac:dyDescent="0.3">
      <c r="AK198" s="23"/>
      <c r="AL198" s="23"/>
      <c r="AM198" s="23"/>
      <c r="AN198" s="23"/>
      <c r="AO198" s="23"/>
    </row>
    <row r="199" spans="37:41" s="19" customFormat="1" ht="11.25" customHeight="1" x14ac:dyDescent="0.3">
      <c r="AK199" s="23"/>
      <c r="AL199" s="23"/>
      <c r="AM199" s="23"/>
      <c r="AN199" s="23"/>
      <c r="AO199" s="23"/>
    </row>
    <row r="200" spans="37:41" s="19" customFormat="1" ht="11.25" customHeight="1" x14ac:dyDescent="0.3">
      <c r="AK200" s="23"/>
      <c r="AL200" s="23"/>
      <c r="AM200" s="23"/>
      <c r="AN200" s="23"/>
      <c r="AO200" s="23"/>
    </row>
    <row r="201" spans="37:41" s="19" customFormat="1" ht="11.25" customHeight="1" x14ac:dyDescent="0.3">
      <c r="AK201" s="23"/>
      <c r="AL201" s="23"/>
      <c r="AM201" s="23"/>
      <c r="AN201" s="23"/>
      <c r="AO201" s="23"/>
    </row>
    <row r="202" spans="37:41" s="19" customFormat="1" ht="11.25" customHeight="1" x14ac:dyDescent="0.3">
      <c r="AK202" s="23"/>
      <c r="AL202" s="23"/>
      <c r="AM202" s="23"/>
      <c r="AN202" s="23"/>
      <c r="AO202" s="23"/>
    </row>
    <row r="203" spans="37:41" s="19" customFormat="1" ht="11.25" customHeight="1" x14ac:dyDescent="0.3">
      <c r="AK203" s="23"/>
      <c r="AL203" s="23"/>
      <c r="AM203" s="23"/>
      <c r="AN203" s="23"/>
      <c r="AO203" s="23"/>
    </row>
    <row r="204" spans="37:41" s="19" customFormat="1" ht="11.25" customHeight="1" x14ac:dyDescent="0.3">
      <c r="AK204" s="23"/>
      <c r="AL204" s="23"/>
      <c r="AM204" s="23"/>
      <c r="AN204" s="23"/>
      <c r="AO204" s="23"/>
    </row>
    <row r="205" spans="37:41" s="19" customFormat="1" ht="11.25" customHeight="1" x14ac:dyDescent="0.3">
      <c r="AK205" s="23"/>
      <c r="AL205" s="23"/>
      <c r="AM205" s="23"/>
      <c r="AN205" s="23"/>
      <c r="AO205" s="23"/>
    </row>
    <row r="206" spans="37:41" s="19" customFormat="1" ht="11.25" customHeight="1" x14ac:dyDescent="0.3">
      <c r="AK206" s="23"/>
      <c r="AL206" s="23"/>
      <c r="AM206" s="23"/>
      <c r="AN206" s="23"/>
      <c r="AO206" s="23"/>
    </row>
    <row r="207" spans="37:41" s="19" customFormat="1" ht="11.25" customHeight="1" x14ac:dyDescent="0.3">
      <c r="AK207" s="23"/>
      <c r="AL207" s="23"/>
      <c r="AM207" s="23"/>
      <c r="AN207" s="23"/>
      <c r="AO207" s="23"/>
    </row>
    <row r="208" spans="37:41" s="19" customFormat="1" ht="11.25" customHeight="1" x14ac:dyDescent="0.3">
      <c r="AK208" s="23"/>
      <c r="AL208" s="23"/>
      <c r="AM208" s="23"/>
      <c r="AN208" s="23"/>
      <c r="AO208" s="23"/>
    </row>
    <row r="209" spans="37:41" s="19" customFormat="1" ht="11.25" customHeight="1" x14ac:dyDescent="0.3">
      <c r="AK209" s="23"/>
      <c r="AL209" s="23"/>
      <c r="AM209" s="23"/>
      <c r="AN209" s="23"/>
      <c r="AO209" s="23"/>
    </row>
    <row r="210" spans="37:41" s="19" customFormat="1" ht="11.25" customHeight="1" x14ac:dyDescent="0.3">
      <c r="AK210" s="23"/>
      <c r="AL210" s="23"/>
      <c r="AM210" s="23"/>
      <c r="AN210" s="23"/>
      <c r="AO210" s="23"/>
    </row>
    <row r="211" spans="37:41" s="19" customFormat="1" ht="11.25" customHeight="1" x14ac:dyDescent="0.3">
      <c r="AK211" s="23"/>
      <c r="AL211" s="23"/>
      <c r="AM211" s="23"/>
      <c r="AN211" s="23"/>
      <c r="AO211" s="23"/>
    </row>
    <row r="212" spans="37:41" s="19" customFormat="1" ht="11.25" customHeight="1" x14ac:dyDescent="0.3">
      <c r="AK212" s="23"/>
      <c r="AL212" s="23"/>
      <c r="AM212" s="23"/>
      <c r="AN212" s="23"/>
      <c r="AO212" s="23"/>
    </row>
    <row r="213" spans="37:41" s="19" customFormat="1" ht="11.25" customHeight="1" x14ac:dyDescent="0.3">
      <c r="AK213" s="23"/>
      <c r="AL213" s="23"/>
      <c r="AM213" s="23"/>
      <c r="AN213" s="23"/>
      <c r="AO213" s="23"/>
    </row>
    <row r="214" spans="37:41" s="19" customFormat="1" ht="11.25" customHeight="1" x14ac:dyDescent="0.3">
      <c r="AK214" s="23"/>
      <c r="AL214" s="23"/>
      <c r="AM214" s="23"/>
      <c r="AN214" s="23"/>
      <c r="AO214" s="23"/>
    </row>
    <row r="215" spans="37:41" s="19" customFormat="1" ht="11.25" customHeight="1" x14ac:dyDescent="0.3">
      <c r="AK215" s="23"/>
      <c r="AL215" s="23"/>
      <c r="AM215" s="23"/>
      <c r="AN215" s="23"/>
      <c r="AO215" s="23"/>
    </row>
    <row r="216" spans="37:41" s="19" customFormat="1" ht="11.25" customHeight="1" x14ac:dyDescent="0.3">
      <c r="AK216" s="23"/>
      <c r="AL216" s="23"/>
      <c r="AM216" s="23"/>
      <c r="AN216" s="23"/>
      <c r="AO216" s="23"/>
    </row>
    <row r="217" spans="37:41" s="19" customFormat="1" ht="11.25" customHeight="1" x14ac:dyDescent="0.3">
      <c r="AK217" s="23"/>
      <c r="AL217" s="23"/>
      <c r="AM217" s="23"/>
      <c r="AN217" s="23"/>
      <c r="AO217" s="23"/>
    </row>
    <row r="218" spans="37:41" s="19" customFormat="1" ht="11.25" customHeight="1" x14ac:dyDescent="0.3">
      <c r="AK218" s="23"/>
      <c r="AL218" s="23"/>
      <c r="AM218" s="23"/>
      <c r="AN218" s="23"/>
      <c r="AO218" s="23"/>
    </row>
    <row r="219" spans="37:41" s="19" customFormat="1" ht="11.25" customHeight="1" x14ac:dyDescent="0.3">
      <c r="AK219" s="23"/>
      <c r="AL219" s="23"/>
      <c r="AM219" s="23"/>
      <c r="AN219" s="23"/>
      <c r="AO219" s="23"/>
    </row>
    <row r="220" spans="37:41" s="19" customFormat="1" ht="11.25" customHeight="1" x14ac:dyDescent="0.3">
      <c r="AK220" s="23"/>
      <c r="AL220" s="23"/>
      <c r="AM220" s="23"/>
      <c r="AN220" s="23"/>
      <c r="AO220" s="23"/>
    </row>
    <row r="221" spans="37:41" s="19" customFormat="1" ht="11.25" customHeight="1" x14ac:dyDescent="0.3">
      <c r="AK221" s="23"/>
      <c r="AL221" s="23"/>
      <c r="AM221" s="23"/>
      <c r="AN221" s="23"/>
      <c r="AO221" s="23"/>
    </row>
    <row r="222" spans="37:41" s="19" customFormat="1" ht="11.25" customHeight="1" x14ac:dyDescent="0.3">
      <c r="AK222" s="23"/>
      <c r="AL222" s="23"/>
      <c r="AM222" s="23"/>
      <c r="AN222" s="23"/>
      <c r="AO222" s="23"/>
    </row>
    <row r="223" spans="37:41" s="19" customFormat="1" ht="11.25" customHeight="1" x14ac:dyDescent="0.3">
      <c r="AK223" s="23"/>
      <c r="AL223" s="23"/>
      <c r="AM223" s="23"/>
      <c r="AN223" s="23"/>
      <c r="AO223" s="23"/>
    </row>
    <row r="224" spans="37:41" s="19" customFormat="1" ht="11.25" customHeight="1" x14ac:dyDescent="0.3">
      <c r="AK224" s="23"/>
      <c r="AL224" s="23"/>
      <c r="AM224" s="23"/>
      <c r="AN224" s="23"/>
      <c r="AO224" s="23"/>
    </row>
    <row r="225" spans="37:41" s="19" customFormat="1" ht="11.25" customHeight="1" x14ac:dyDescent="0.3">
      <c r="AK225" s="23"/>
      <c r="AL225" s="23"/>
      <c r="AM225" s="23"/>
      <c r="AN225" s="23"/>
      <c r="AO225" s="23"/>
    </row>
    <row r="226" spans="37:41" s="19" customFormat="1" ht="11.25" customHeight="1" x14ac:dyDescent="0.3">
      <c r="AK226" s="23"/>
      <c r="AL226" s="23"/>
      <c r="AM226" s="23"/>
      <c r="AN226" s="23"/>
      <c r="AO226" s="23"/>
    </row>
    <row r="227" spans="37:41" s="19" customFormat="1" ht="11.25" customHeight="1" x14ac:dyDescent="0.3">
      <c r="AK227" s="23"/>
      <c r="AL227" s="23"/>
      <c r="AM227" s="23"/>
      <c r="AN227" s="23"/>
      <c r="AO227" s="23"/>
    </row>
    <row r="228" spans="37:41" s="19" customFormat="1" ht="11.25" customHeight="1" x14ac:dyDescent="0.3">
      <c r="AK228" s="23"/>
      <c r="AL228" s="23"/>
      <c r="AM228" s="23"/>
      <c r="AN228" s="23"/>
      <c r="AO228" s="23"/>
    </row>
    <row r="229" spans="37:41" s="19" customFormat="1" ht="11.25" customHeight="1" x14ac:dyDescent="0.3">
      <c r="AK229" s="23"/>
      <c r="AL229" s="23"/>
      <c r="AM229" s="23"/>
      <c r="AN229" s="23"/>
      <c r="AO229" s="23"/>
    </row>
    <row r="230" spans="37:41" s="19" customFormat="1" ht="11.25" customHeight="1" x14ac:dyDescent="0.3">
      <c r="AK230" s="23"/>
      <c r="AL230" s="23"/>
      <c r="AM230" s="23"/>
      <c r="AN230" s="23"/>
      <c r="AO230" s="23"/>
    </row>
    <row r="231" spans="37:41" s="19" customFormat="1" ht="11.25" customHeight="1" x14ac:dyDescent="0.3">
      <c r="AK231" s="23"/>
      <c r="AL231" s="23"/>
      <c r="AM231" s="23"/>
      <c r="AN231" s="23"/>
      <c r="AO231" s="23"/>
    </row>
    <row r="232" spans="37:41" s="19" customFormat="1" ht="11.25" customHeight="1" x14ac:dyDescent="0.3">
      <c r="AK232" s="23"/>
      <c r="AL232" s="23"/>
      <c r="AM232" s="23"/>
      <c r="AN232" s="23"/>
      <c r="AO232" s="23"/>
    </row>
    <row r="233" spans="37:41" s="19" customFormat="1" ht="11.25" customHeight="1" x14ac:dyDescent="0.3">
      <c r="AK233" s="23"/>
      <c r="AL233" s="23"/>
      <c r="AM233" s="23"/>
      <c r="AN233" s="23"/>
      <c r="AO233" s="23"/>
    </row>
    <row r="234" spans="37:41" s="19" customFormat="1" ht="11.25" customHeight="1" x14ac:dyDescent="0.3">
      <c r="AK234" s="23"/>
      <c r="AL234" s="23"/>
      <c r="AM234" s="23"/>
      <c r="AN234" s="23"/>
      <c r="AO234" s="23"/>
    </row>
    <row r="235" spans="37:41" s="19" customFormat="1" ht="11.25" customHeight="1" x14ac:dyDescent="0.3">
      <c r="AK235" s="23"/>
      <c r="AL235" s="23"/>
      <c r="AM235" s="23"/>
      <c r="AN235" s="23"/>
      <c r="AO235" s="23"/>
    </row>
    <row r="236" spans="37:41" s="19" customFormat="1" ht="11.25" customHeight="1" x14ac:dyDescent="0.3">
      <c r="AK236" s="23"/>
      <c r="AL236" s="23"/>
      <c r="AM236" s="23"/>
      <c r="AN236" s="23"/>
      <c r="AO236" s="23"/>
    </row>
    <row r="237" spans="37:41" s="19" customFormat="1" ht="11.25" customHeight="1" x14ac:dyDescent="0.3">
      <c r="AK237" s="23"/>
      <c r="AL237" s="23"/>
      <c r="AM237" s="23"/>
      <c r="AN237" s="23"/>
      <c r="AO237" s="23"/>
    </row>
    <row r="238" spans="37:41" s="19" customFormat="1" ht="11.25" customHeight="1" x14ac:dyDescent="0.3">
      <c r="AK238" s="23"/>
      <c r="AL238" s="23"/>
      <c r="AM238" s="23"/>
      <c r="AN238" s="23"/>
      <c r="AO238" s="23"/>
    </row>
    <row r="239" spans="37:41" s="19" customFormat="1" ht="11.25" customHeight="1" x14ac:dyDescent="0.3">
      <c r="AK239" s="23"/>
      <c r="AL239" s="23"/>
      <c r="AM239" s="23"/>
      <c r="AN239" s="23"/>
      <c r="AO239" s="23"/>
    </row>
    <row r="240" spans="37:41" s="19" customFormat="1" ht="11.25" customHeight="1" x14ac:dyDescent="0.3">
      <c r="AK240" s="23"/>
      <c r="AL240" s="23"/>
      <c r="AM240" s="23"/>
      <c r="AN240" s="23"/>
      <c r="AO240" s="23"/>
    </row>
    <row r="241" spans="37:41" s="19" customFormat="1" ht="11.25" customHeight="1" x14ac:dyDescent="0.3">
      <c r="AK241" s="23"/>
      <c r="AL241" s="23"/>
      <c r="AM241" s="23"/>
      <c r="AN241" s="23"/>
      <c r="AO241" s="23"/>
    </row>
    <row r="242" spans="37:41" s="19" customFormat="1" ht="11.25" customHeight="1" x14ac:dyDescent="0.3">
      <c r="AK242" s="23"/>
      <c r="AL242" s="23"/>
      <c r="AM242" s="23"/>
      <c r="AN242" s="23"/>
      <c r="AO242" s="23"/>
    </row>
    <row r="243" spans="37:41" s="19" customFormat="1" ht="11.25" customHeight="1" x14ac:dyDescent="0.3">
      <c r="AK243" s="23"/>
      <c r="AL243" s="23"/>
      <c r="AM243" s="23"/>
      <c r="AN243" s="23"/>
      <c r="AO243" s="23"/>
    </row>
    <row r="244" spans="37:41" s="19" customFormat="1" ht="11.25" customHeight="1" x14ac:dyDescent="0.3">
      <c r="AK244" s="23"/>
      <c r="AL244" s="23"/>
      <c r="AM244" s="23"/>
      <c r="AN244" s="23"/>
      <c r="AO244" s="23"/>
    </row>
    <row r="245" spans="37:41" s="19" customFormat="1" ht="11.25" customHeight="1" x14ac:dyDescent="0.3">
      <c r="AK245" s="23"/>
      <c r="AL245" s="23"/>
      <c r="AM245" s="23"/>
      <c r="AN245" s="23"/>
      <c r="AO245" s="23"/>
    </row>
    <row r="246" spans="37:41" s="19" customFormat="1" ht="11.25" customHeight="1" x14ac:dyDescent="0.3">
      <c r="AK246" s="23"/>
      <c r="AL246" s="23"/>
      <c r="AM246" s="23"/>
      <c r="AN246" s="23"/>
      <c r="AO246" s="23"/>
    </row>
    <row r="247" spans="37:41" s="19" customFormat="1" ht="11.25" customHeight="1" x14ac:dyDescent="0.3">
      <c r="AK247" s="23"/>
      <c r="AL247" s="23"/>
      <c r="AM247" s="23"/>
      <c r="AN247" s="23"/>
      <c r="AO247" s="23"/>
    </row>
    <row r="248" spans="37:41" s="19" customFormat="1" ht="11.25" customHeight="1" x14ac:dyDescent="0.3">
      <c r="AK248" s="23"/>
      <c r="AL248" s="23"/>
      <c r="AM248" s="23"/>
      <c r="AN248" s="23"/>
      <c r="AO248" s="23"/>
    </row>
    <row r="249" spans="37:41" s="19" customFormat="1" ht="11.25" customHeight="1" x14ac:dyDescent="0.3">
      <c r="AK249" s="23"/>
      <c r="AL249" s="23"/>
      <c r="AM249" s="23"/>
      <c r="AN249" s="23"/>
      <c r="AO249" s="23"/>
    </row>
    <row r="250" spans="37:41" s="19" customFormat="1" ht="11.25" customHeight="1" x14ac:dyDescent="0.3">
      <c r="AK250" s="23"/>
      <c r="AL250" s="23"/>
      <c r="AM250" s="23"/>
      <c r="AN250" s="23"/>
      <c r="AO250" s="23"/>
    </row>
    <row r="251" spans="37:41" s="19" customFormat="1" ht="11.25" customHeight="1" x14ac:dyDescent="0.3">
      <c r="AK251" s="23"/>
      <c r="AL251" s="23"/>
      <c r="AM251" s="23"/>
      <c r="AN251" s="23"/>
      <c r="AO251" s="23"/>
    </row>
    <row r="252" spans="37:41" s="19" customFormat="1" ht="11.25" customHeight="1" x14ac:dyDescent="0.3">
      <c r="AK252" s="23"/>
      <c r="AL252" s="23"/>
      <c r="AM252" s="23"/>
      <c r="AN252" s="23"/>
      <c r="AO252" s="23"/>
    </row>
    <row r="253" spans="37:41" s="19" customFormat="1" ht="11.25" customHeight="1" x14ac:dyDescent="0.3">
      <c r="AK253" s="23"/>
      <c r="AL253" s="23"/>
      <c r="AM253" s="23"/>
      <c r="AN253" s="23"/>
      <c r="AO253" s="23"/>
    </row>
    <row r="254" spans="37:41" s="19" customFormat="1" ht="11.25" customHeight="1" x14ac:dyDescent="0.3">
      <c r="AK254" s="23"/>
      <c r="AL254" s="23"/>
      <c r="AM254" s="23"/>
      <c r="AN254" s="23"/>
      <c r="AO254" s="23"/>
    </row>
    <row r="255" spans="37:41" s="19" customFormat="1" ht="11.25" customHeight="1" x14ac:dyDescent="0.3">
      <c r="AK255" s="23"/>
      <c r="AL255" s="23"/>
      <c r="AM255" s="23"/>
      <c r="AN255" s="23"/>
      <c r="AO255" s="23"/>
    </row>
    <row r="256" spans="37:41" s="19" customFormat="1" ht="11.25" customHeight="1" x14ac:dyDescent="0.3">
      <c r="AK256" s="23"/>
      <c r="AL256" s="23"/>
      <c r="AM256" s="23"/>
      <c r="AN256" s="23"/>
      <c r="AO256" s="23"/>
    </row>
    <row r="257" spans="37:41" s="19" customFormat="1" ht="11.25" customHeight="1" x14ac:dyDescent="0.3">
      <c r="AK257" s="23"/>
      <c r="AL257" s="23"/>
      <c r="AM257" s="23"/>
      <c r="AN257" s="23"/>
      <c r="AO257" s="23"/>
    </row>
    <row r="258" spans="37:41" s="19" customFormat="1" ht="11.25" customHeight="1" x14ac:dyDescent="0.3">
      <c r="AK258" s="23"/>
      <c r="AL258" s="23"/>
      <c r="AM258" s="23"/>
      <c r="AN258" s="23"/>
      <c r="AO258" s="23"/>
    </row>
    <row r="259" spans="37:41" s="19" customFormat="1" ht="11.25" customHeight="1" x14ac:dyDescent="0.3">
      <c r="AK259" s="23"/>
      <c r="AL259" s="23"/>
      <c r="AM259" s="23"/>
      <c r="AN259" s="23"/>
      <c r="AO259" s="23"/>
    </row>
    <row r="260" spans="37:41" s="19" customFormat="1" ht="11.25" customHeight="1" x14ac:dyDescent="0.3">
      <c r="AK260" s="23"/>
      <c r="AL260" s="23"/>
      <c r="AM260" s="23"/>
      <c r="AN260" s="23"/>
      <c r="AO260" s="23"/>
    </row>
    <row r="261" spans="37:41" s="19" customFormat="1" ht="11.25" customHeight="1" x14ac:dyDescent="0.3">
      <c r="AK261" s="23"/>
      <c r="AL261" s="23"/>
      <c r="AM261" s="23"/>
      <c r="AN261" s="23"/>
      <c r="AO261" s="23"/>
    </row>
    <row r="262" spans="37:41" s="19" customFormat="1" ht="11.25" customHeight="1" x14ac:dyDescent="0.3">
      <c r="AK262" s="23"/>
      <c r="AL262" s="23"/>
      <c r="AM262" s="23"/>
      <c r="AN262" s="23"/>
      <c r="AO262" s="23"/>
    </row>
    <row r="263" spans="37:41" s="19" customFormat="1" ht="11.25" customHeight="1" x14ac:dyDescent="0.3">
      <c r="AK263" s="23"/>
      <c r="AL263" s="23"/>
      <c r="AM263" s="23"/>
      <c r="AN263" s="23"/>
      <c r="AO263" s="23"/>
    </row>
    <row r="264" spans="37:41" s="19" customFormat="1" ht="11.25" customHeight="1" x14ac:dyDescent="0.3">
      <c r="AK264" s="23"/>
      <c r="AL264" s="23"/>
      <c r="AM264" s="23"/>
      <c r="AN264" s="23"/>
      <c r="AO264" s="23"/>
    </row>
    <row r="265" spans="37:41" s="19" customFormat="1" ht="11.25" customHeight="1" x14ac:dyDescent="0.3">
      <c r="AK265" s="23"/>
      <c r="AL265" s="23"/>
      <c r="AM265" s="23"/>
      <c r="AN265" s="23"/>
      <c r="AO265" s="23"/>
    </row>
    <row r="266" spans="37:41" s="19" customFormat="1" ht="11.25" customHeight="1" x14ac:dyDescent="0.3">
      <c r="AK266" s="23"/>
      <c r="AL266" s="23"/>
      <c r="AM266" s="23"/>
      <c r="AN266" s="23"/>
      <c r="AO266" s="23"/>
    </row>
    <row r="267" spans="37:41" s="19" customFormat="1" ht="11.25" customHeight="1" x14ac:dyDescent="0.3">
      <c r="AK267" s="23"/>
      <c r="AL267" s="23"/>
      <c r="AM267" s="23"/>
      <c r="AN267" s="23"/>
      <c r="AO267" s="23"/>
    </row>
    <row r="268" spans="37:41" s="19" customFormat="1" ht="11.25" customHeight="1" x14ac:dyDescent="0.3">
      <c r="AK268" s="23"/>
      <c r="AL268" s="23"/>
      <c r="AM268" s="23"/>
      <c r="AN268" s="23"/>
      <c r="AO268" s="23"/>
    </row>
    <row r="269" spans="37:41" s="19" customFormat="1" ht="11.25" customHeight="1" x14ac:dyDescent="0.3">
      <c r="AK269" s="23"/>
      <c r="AL269" s="23"/>
      <c r="AM269" s="23"/>
      <c r="AN269" s="23"/>
      <c r="AO269" s="23"/>
    </row>
    <row r="270" spans="37:41" s="19" customFormat="1" ht="11.25" customHeight="1" x14ac:dyDescent="0.3">
      <c r="AK270" s="23"/>
      <c r="AL270" s="23"/>
      <c r="AM270" s="23"/>
      <c r="AN270" s="23"/>
      <c r="AO270" s="23"/>
    </row>
    <row r="271" spans="37:41" s="19" customFormat="1" ht="11.25" customHeight="1" x14ac:dyDescent="0.3">
      <c r="AK271" s="23"/>
      <c r="AL271" s="23"/>
      <c r="AM271" s="23"/>
      <c r="AN271" s="23"/>
      <c r="AO271" s="23"/>
    </row>
    <row r="272" spans="37:41" s="19" customFormat="1" ht="11.25" customHeight="1" x14ac:dyDescent="0.3">
      <c r="AK272" s="23"/>
      <c r="AL272" s="23"/>
      <c r="AM272" s="23"/>
      <c r="AN272" s="23"/>
      <c r="AO272" s="23"/>
    </row>
    <row r="273" spans="37:41" s="19" customFormat="1" ht="11.25" customHeight="1" x14ac:dyDescent="0.3">
      <c r="AK273" s="23"/>
      <c r="AL273" s="23"/>
      <c r="AM273" s="23"/>
      <c r="AN273" s="23"/>
      <c r="AO273" s="23"/>
    </row>
    <row r="274" spans="37:41" s="19" customFormat="1" ht="11.25" customHeight="1" x14ac:dyDescent="0.3">
      <c r="AK274" s="23"/>
      <c r="AL274" s="23"/>
      <c r="AM274" s="23"/>
      <c r="AN274" s="23"/>
      <c r="AO274" s="23"/>
    </row>
    <row r="275" spans="37:41" s="19" customFormat="1" ht="11.25" customHeight="1" x14ac:dyDescent="0.3">
      <c r="AK275" s="23"/>
      <c r="AL275" s="23"/>
      <c r="AM275" s="23"/>
      <c r="AN275" s="23"/>
      <c r="AO275" s="23"/>
    </row>
    <row r="276" spans="37:41" s="19" customFormat="1" ht="11.25" customHeight="1" x14ac:dyDescent="0.3">
      <c r="AK276" s="23"/>
      <c r="AL276" s="23"/>
      <c r="AM276" s="23"/>
      <c r="AN276" s="23"/>
      <c r="AO276" s="23"/>
    </row>
    <row r="277" spans="37:41" s="19" customFormat="1" ht="11.25" customHeight="1" x14ac:dyDescent="0.3">
      <c r="AK277" s="23"/>
      <c r="AL277" s="23"/>
      <c r="AM277" s="23"/>
      <c r="AN277" s="23"/>
      <c r="AO277" s="23"/>
    </row>
    <row r="278" spans="37:41" s="19" customFormat="1" ht="11.25" customHeight="1" x14ac:dyDescent="0.3">
      <c r="AK278" s="23"/>
      <c r="AL278" s="23"/>
      <c r="AM278" s="23"/>
      <c r="AN278" s="23"/>
      <c r="AO278" s="23"/>
    </row>
    <row r="279" spans="37:41" s="19" customFormat="1" ht="11.25" customHeight="1" x14ac:dyDescent="0.3">
      <c r="AK279" s="23"/>
      <c r="AL279" s="23"/>
      <c r="AM279" s="23"/>
      <c r="AN279" s="23"/>
      <c r="AO279" s="23"/>
    </row>
    <row r="280" spans="37:41" s="19" customFormat="1" ht="11.25" customHeight="1" x14ac:dyDescent="0.3">
      <c r="AK280" s="23"/>
      <c r="AL280" s="23"/>
      <c r="AM280" s="23"/>
      <c r="AN280" s="23"/>
      <c r="AO280" s="23"/>
    </row>
    <row r="281" spans="37:41" s="19" customFormat="1" ht="11.25" customHeight="1" x14ac:dyDescent="0.3">
      <c r="AK281" s="23"/>
      <c r="AL281" s="23"/>
      <c r="AM281" s="23"/>
      <c r="AN281" s="23"/>
      <c r="AO281" s="23"/>
    </row>
    <row r="282" spans="37:41" s="19" customFormat="1" ht="11.25" customHeight="1" x14ac:dyDescent="0.3">
      <c r="AK282" s="23"/>
      <c r="AL282" s="23"/>
      <c r="AM282" s="23"/>
      <c r="AN282" s="23"/>
      <c r="AO282" s="23"/>
    </row>
    <row r="283" spans="37:41" s="19" customFormat="1" ht="11.25" customHeight="1" x14ac:dyDescent="0.3">
      <c r="AK283" s="23"/>
      <c r="AL283" s="23"/>
      <c r="AM283" s="23"/>
      <c r="AN283" s="23"/>
      <c r="AO283" s="23"/>
    </row>
    <row r="284" spans="37:41" s="19" customFormat="1" ht="11.25" customHeight="1" x14ac:dyDescent="0.3">
      <c r="AK284" s="23"/>
      <c r="AL284" s="23"/>
      <c r="AM284" s="23"/>
      <c r="AN284" s="23"/>
      <c r="AO284" s="23"/>
    </row>
    <row r="285" spans="37:41" s="19" customFormat="1" ht="11.25" customHeight="1" x14ac:dyDescent="0.3">
      <c r="AK285" s="23"/>
      <c r="AL285" s="23"/>
      <c r="AM285" s="23"/>
      <c r="AN285" s="23"/>
      <c r="AO285" s="23"/>
    </row>
    <row r="286" spans="37:41" s="19" customFormat="1" ht="11.25" customHeight="1" x14ac:dyDescent="0.3">
      <c r="AK286" s="23"/>
      <c r="AL286" s="23"/>
      <c r="AM286" s="23"/>
      <c r="AN286" s="23"/>
      <c r="AO286" s="23"/>
    </row>
    <row r="287" spans="37:41" s="19" customFormat="1" ht="11.25" customHeight="1" x14ac:dyDescent="0.3">
      <c r="AK287" s="23"/>
      <c r="AL287" s="23"/>
      <c r="AM287" s="23"/>
      <c r="AN287" s="23"/>
      <c r="AO287" s="23"/>
    </row>
    <row r="288" spans="37:41" s="19" customFormat="1" ht="11.25" customHeight="1" x14ac:dyDescent="0.3">
      <c r="AK288" s="23"/>
      <c r="AL288" s="23"/>
      <c r="AM288" s="23"/>
      <c r="AN288" s="23"/>
      <c r="AO288" s="23"/>
    </row>
    <row r="289" spans="37:41" s="19" customFormat="1" ht="11.25" customHeight="1" x14ac:dyDescent="0.3">
      <c r="AK289" s="23"/>
      <c r="AL289" s="23"/>
      <c r="AM289" s="23"/>
      <c r="AN289" s="23"/>
      <c r="AO289" s="23"/>
    </row>
    <row r="290" spans="37:41" s="19" customFormat="1" ht="11.25" customHeight="1" x14ac:dyDescent="0.3">
      <c r="AK290" s="23"/>
      <c r="AL290" s="23"/>
      <c r="AM290" s="23"/>
      <c r="AN290" s="23"/>
      <c r="AO290" s="23"/>
    </row>
    <row r="291" spans="37:41" s="19" customFormat="1" ht="11.25" customHeight="1" x14ac:dyDescent="0.3">
      <c r="AK291" s="23"/>
      <c r="AL291" s="23"/>
      <c r="AM291" s="23"/>
      <c r="AN291" s="23"/>
      <c r="AO291" s="23"/>
    </row>
    <row r="292" spans="37:41" s="19" customFormat="1" ht="11.25" customHeight="1" x14ac:dyDescent="0.3">
      <c r="AK292" s="23"/>
      <c r="AL292" s="23"/>
      <c r="AM292" s="23"/>
      <c r="AN292" s="23"/>
      <c r="AO292" s="23"/>
    </row>
    <row r="293" spans="37:41" s="19" customFormat="1" ht="11.25" customHeight="1" x14ac:dyDescent="0.3">
      <c r="AK293" s="23"/>
      <c r="AL293" s="23"/>
      <c r="AM293" s="23"/>
      <c r="AN293" s="23"/>
      <c r="AO293" s="23"/>
    </row>
    <row r="294" spans="37:41" s="19" customFormat="1" ht="11.25" customHeight="1" x14ac:dyDescent="0.3">
      <c r="AK294" s="23"/>
      <c r="AL294" s="23"/>
      <c r="AM294" s="23"/>
      <c r="AN294" s="23"/>
      <c r="AO294" s="23"/>
    </row>
    <row r="295" spans="37:41" s="19" customFormat="1" ht="11.25" customHeight="1" x14ac:dyDescent="0.3">
      <c r="AK295" s="23"/>
      <c r="AL295" s="23"/>
      <c r="AM295" s="23"/>
      <c r="AN295" s="23"/>
      <c r="AO295" s="23"/>
    </row>
    <row r="296" spans="37:41" s="19" customFormat="1" ht="11.25" customHeight="1" x14ac:dyDescent="0.3">
      <c r="AK296" s="23"/>
      <c r="AL296" s="23"/>
      <c r="AM296" s="23"/>
      <c r="AN296" s="23"/>
      <c r="AO296" s="23"/>
    </row>
    <row r="297" spans="37:41" s="19" customFormat="1" ht="11.25" customHeight="1" x14ac:dyDescent="0.3">
      <c r="AK297" s="23"/>
      <c r="AL297" s="23"/>
      <c r="AM297" s="23"/>
      <c r="AN297" s="23"/>
      <c r="AO297" s="23"/>
    </row>
    <row r="298" spans="37:41" s="19" customFormat="1" ht="11.25" customHeight="1" x14ac:dyDescent="0.3">
      <c r="AK298" s="23"/>
      <c r="AL298" s="23"/>
      <c r="AM298" s="23"/>
      <c r="AN298" s="23"/>
      <c r="AO298" s="23"/>
    </row>
    <row r="299" spans="37:41" s="19" customFormat="1" ht="11.25" customHeight="1" x14ac:dyDescent="0.3">
      <c r="AK299" s="23"/>
      <c r="AL299" s="23"/>
      <c r="AM299" s="23"/>
      <c r="AN299" s="23"/>
      <c r="AO299" s="23"/>
    </row>
    <row r="300" spans="37:41" s="19" customFormat="1" ht="11.25" customHeight="1" x14ac:dyDescent="0.3">
      <c r="AK300" s="23"/>
      <c r="AL300" s="23"/>
      <c r="AM300" s="23"/>
      <c r="AN300" s="23"/>
      <c r="AO300" s="23"/>
    </row>
    <row r="301" spans="37:41" s="19" customFormat="1" ht="11.25" customHeight="1" x14ac:dyDescent="0.3">
      <c r="AK301" s="23"/>
      <c r="AL301" s="23"/>
      <c r="AM301" s="23"/>
      <c r="AN301" s="23"/>
      <c r="AO301" s="23"/>
    </row>
    <row r="302" spans="37:41" s="19" customFormat="1" ht="11.25" customHeight="1" x14ac:dyDescent="0.3">
      <c r="AK302" s="23"/>
      <c r="AL302" s="23"/>
      <c r="AM302" s="23"/>
      <c r="AN302" s="23"/>
      <c r="AO302" s="23"/>
    </row>
    <row r="303" spans="37:41" s="19" customFormat="1" ht="11.25" customHeight="1" x14ac:dyDescent="0.3">
      <c r="AK303" s="23"/>
      <c r="AL303" s="23"/>
      <c r="AM303" s="23"/>
      <c r="AN303" s="23"/>
      <c r="AO303" s="23"/>
    </row>
    <row r="304" spans="37:41" s="19" customFormat="1" ht="11.25" customHeight="1" x14ac:dyDescent="0.3">
      <c r="AK304" s="23"/>
      <c r="AL304" s="23"/>
      <c r="AM304" s="23"/>
      <c r="AN304" s="23"/>
      <c r="AO304" s="23"/>
    </row>
    <row r="305" spans="37:41" s="19" customFormat="1" ht="11.25" customHeight="1" x14ac:dyDescent="0.3">
      <c r="AK305" s="23"/>
      <c r="AL305" s="23"/>
      <c r="AM305" s="23"/>
      <c r="AN305" s="23"/>
      <c r="AO305" s="23"/>
    </row>
    <row r="306" spans="37:41" s="19" customFormat="1" ht="11.25" customHeight="1" x14ac:dyDescent="0.3">
      <c r="AK306" s="23"/>
      <c r="AL306" s="23"/>
      <c r="AM306" s="23"/>
      <c r="AN306" s="23"/>
      <c r="AO306" s="23"/>
    </row>
    <row r="307" spans="37:41" s="19" customFormat="1" ht="11.25" customHeight="1" x14ac:dyDescent="0.3">
      <c r="AK307" s="23"/>
      <c r="AL307" s="23"/>
      <c r="AM307" s="23"/>
      <c r="AN307" s="23"/>
      <c r="AO307" s="23"/>
    </row>
    <row r="308" spans="37:41" s="19" customFormat="1" ht="11.25" customHeight="1" x14ac:dyDescent="0.3">
      <c r="AK308" s="23"/>
      <c r="AL308" s="23"/>
      <c r="AM308" s="23"/>
      <c r="AN308" s="23"/>
      <c r="AO308" s="23"/>
    </row>
    <row r="309" spans="37:41" s="19" customFormat="1" ht="11.25" customHeight="1" x14ac:dyDescent="0.3">
      <c r="AK309" s="23"/>
      <c r="AL309" s="23"/>
      <c r="AM309" s="23"/>
      <c r="AN309" s="23"/>
      <c r="AO309" s="23"/>
    </row>
    <row r="310" spans="37:41" s="19" customFormat="1" ht="11.25" customHeight="1" x14ac:dyDescent="0.3">
      <c r="AK310" s="23"/>
      <c r="AL310" s="23"/>
      <c r="AM310" s="23"/>
      <c r="AN310" s="23"/>
      <c r="AO310" s="23"/>
    </row>
    <row r="311" spans="37:41" s="19" customFormat="1" ht="11.25" customHeight="1" x14ac:dyDescent="0.3">
      <c r="AK311" s="23"/>
      <c r="AL311" s="23"/>
      <c r="AM311" s="23"/>
      <c r="AN311" s="23"/>
      <c r="AO311" s="23"/>
    </row>
    <row r="312" spans="37:41" s="19" customFormat="1" ht="11.25" customHeight="1" x14ac:dyDescent="0.3">
      <c r="AK312" s="23"/>
      <c r="AL312" s="23"/>
      <c r="AM312" s="23"/>
      <c r="AN312" s="23"/>
      <c r="AO312" s="23"/>
    </row>
    <row r="313" spans="37:41" s="19" customFormat="1" ht="11.25" customHeight="1" x14ac:dyDescent="0.3">
      <c r="AK313" s="23"/>
      <c r="AL313" s="23"/>
      <c r="AM313" s="23"/>
      <c r="AN313" s="23"/>
      <c r="AO313" s="23"/>
    </row>
    <row r="314" spans="37:41" s="19" customFormat="1" ht="11.25" customHeight="1" x14ac:dyDescent="0.3">
      <c r="AK314" s="23"/>
      <c r="AL314" s="23"/>
      <c r="AM314" s="23"/>
      <c r="AN314" s="23"/>
      <c r="AO314" s="23"/>
    </row>
    <row r="315" spans="37:41" s="19" customFormat="1" ht="11.25" customHeight="1" x14ac:dyDescent="0.3">
      <c r="AK315" s="23"/>
      <c r="AL315" s="23"/>
      <c r="AM315" s="23"/>
      <c r="AN315" s="23"/>
      <c r="AO315" s="23"/>
    </row>
    <row r="316" spans="37:41" s="19" customFormat="1" ht="11.25" customHeight="1" x14ac:dyDescent="0.3">
      <c r="AK316" s="23"/>
      <c r="AL316" s="23"/>
      <c r="AM316" s="23"/>
      <c r="AN316" s="23"/>
      <c r="AO316" s="23"/>
    </row>
    <row r="317" spans="37:41" s="19" customFormat="1" ht="11.25" customHeight="1" x14ac:dyDescent="0.3">
      <c r="AK317" s="23"/>
      <c r="AL317" s="23"/>
      <c r="AM317" s="23"/>
      <c r="AN317" s="23"/>
      <c r="AO317" s="23"/>
    </row>
    <row r="318" spans="37:41" s="19" customFormat="1" ht="11.25" customHeight="1" x14ac:dyDescent="0.3">
      <c r="AK318" s="23"/>
      <c r="AL318" s="23"/>
      <c r="AM318" s="23"/>
      <c r="AN318" s="23"/>
      <c r="AO318" s="23"/>
    </row>
    <row r="319" spans="37:41" s="19" customFormat="1" ht="11.25" customHeight="1" x14ac:dyDescent="0.3">
      <c r="AK319" s="23"/>
      <c r="AL319" s="23"/>
      <c r="AM319" s="23"/>
      <c r="AN319" s="23"/>
      <c r="AO319" s="23"/>
    </row>
    <row r="320" spans="37:41" s="19" customFormat="1" ht="11.25" customHeight="1" x14ac:dyDescent="0.3">
      <c r="AK320" s="23"/>
      <c r="AL320" s="23"/>
      <c r="AM320" s="23"/>
      <c r="AN320" s="23"/>
      <c r="AO320" s="23"/>
    </row>
    <row r="321" spans="37:41" s="19" customFormat="1" ht="11.25" customHeight="1" x14ac:dyDescent="0.3">
      <c r="AK321" s="23"/>
      <c r="AL321" s="23"/>
      <c r="AM321" s="23"/>
      <c r="AN321" s="23"/>
      <c r="AO321" s="23"/>
    </row>
    <row r="322" spans="37:41" s="19" customFormat="1" ht="11.25" customHeight="1" x14ac:dyDescent="0.3">
      <c r="AK322" s="23"/>
      <c r="AL322" s="23"/>
      <c r="AM322" s="23"/>
      <c r="AN322" s="23"/>
      <c r="AO322" s="23"/>
    </row>
    <row r="323" spans="37:41" s="19" customFormat="1" ht="11.25" customHeight="1" x14ac:dyDescent="0.3">
      <c r="AK323" s="23"/>
      <c r="AL323" s="23"/>
      <c r="AM323" s="23"/>
      <c r="AN323" s="23"/>
      <c r="AO323" s="23"/>
    </row>
    <row r="324" spans="37:41" s="19" customFormat="1" ht="11.25" customHeight="1" x14ac:dyDescent="0.3">
      <c r="AK324" s="23"/>
      <c r="AL324" s="23"/>
      <c r="AM324" s="23"/>
      <c r="AN324" s="23"/>
      <c r="AO324" s="23"/>
    </row>
    <row r="325" spans="37:41" s="19" customFormat="1" ht="11.25" customHeight="1" x14ac:dyDescent="0.3">
      <c r="AK325" s="23"/>
      <c r="AL325" s="23"/>
      <c r="AM325" s="23"/>
      <c r="AN325" s="23"/>
      <c r="AO325" s="23"/>
    </row>
    <row r="326" spans="37:41" s="19" customFormat="1" ht="11.25" customHeight="1" x14ac:dyDescent="0.3">
      <c r="AK326" s="23"/>
      <c r="AL326" s="23"/>
      <c r="AM326" s="23"/>
      <c r="AN326" s="23"/>
      <c r="AO326" s="23"/>
    </row>
    <row r="327" spans="37:41" s="19" customFormat="1" ht="11.25" customHeight="1" x14ac:dyDescent="0.3">
      <c r="AK327" s="23"/>
      <c r="AL327" s="23"/>
      <c r="AM327" s="23"/>
      <c r="AN327" s="23"/>
      <c r="AO327" s="23"/>
    </row>
    <row r="328" spans="37:41" s="19" customFormat="1" ht="11.25" customHeight="1" x14ac:dyDescent="0.3">
      <c r="AK328" s="23"/>
      <c r="AL328" s="23"/>
      <c r="AM328" s="23"/>
      <c r="AN328" s="23"/>
      <c r="AO328" s="23"/>
    </row>
    <row r="329" spans="37:41" s="19" customFormat="1" ht="11.25" customHeight="1" x14ac:dyDescent="0.3">
      <c r="AK329" s="23"/>
      <c r="AL329" s="23"/>
      <c r="AM329" s="23"/>
      <c r="AN329" s="23"/>
      <c r="AO329" s="23"/>
    </row>
    <row r="330" spans="37:41" s="19" customFormat="1" ht="11.25" customHeight="1" x14ac:dyDescent="0.3">
      <c r="AK330" s="23"/>
      <c r="AL330" s="23"/>
      <c r="AM330" s="23"/>
      <c r="AN330" s="23"/>
      <c r="AO330" s="23"/>
    </row>
    <row r="331" spans="37:41" s="19" customFormat="1" ht="11.25" customHeight="1" x14ac:dyDescent="0.3">
      <c r="AK331" s="23"/>
      <c r="AL331" s="23"/>
      <c r="AM331" s="23"/>
      <c r="AN331" s="23"/>
      <c r="AO331" s="23"/>
    </row>
    <row r="332" spans="37:41" s="19" customFormat="1" ht="11.25" customHeight="1" x14ac:dyDescent="0.3">
      <c r="AK332" s="23"/>
      <c r="AL332" s="23"/>
      <c r="AM332" s="23"/>
      <c r="AN332" s="23"/>
      <c r="AO332" s="23"/>
    </row>
    <row r="333" spans="37:41" s="19" customFormat="1" ht="11.25" customHeight="1" x14ac:dyDescent="0.3">
      <c r="AK333" s="23"/>
      <c r="AL333" s="23"/>
      <c r="AM333" s="23"/>
      <c r="AN333" s="23"/>
      <c r="AO333" s="23"/>
    </row>
    <row r="334" spans="37:41" s="19" customFormat="1" ht="11.25" customHeight="1" x14ac:dyDescent="0.3">
      <c r="AK334" s="23"/>
      <c r="AL334" s="23"/>
      <c r="AM334" s="23"/>
      <c r="AN334" s="23"/>
      <c r="AO334" s="23"/>
    </row>
    <row r="335" spans="37:41" s="19" customFormat="1" ht="11.25" customHeight="1" x14ac:dyDescent="0.3">
      <c r="AK335" s="23"/>
      <c r="AL335" s="23"/>
      <c r="AM335" s="23"/>
      <c r="AN335" s="23"/>
      <c r="AO335" s="23"/>
    </row>
    <row r="336" spans="37:41" s="19" customFormat="1" ht="11.25" customHeight="1" x14ac:dyDescent="0.3">
      <c r="AK336" s="23"/>
      <c r="AL336" s="23"/>
      <c r="AM336" s="23"/>
      <c r="AN336" s="23"/>
      <c r="AO336" s="23"/>
    </row>
    <row r="337" spans="37:41" s="19" customFormat="1" ht="11.25" customHeight="1" x14ac:dyDescent="0.3">
      <c r="AK337" s="23"/>
      <c r="AL337" s="23"/>
      <c r="AM337" s="23"/>
      <c r="AN337" s="23"/>
      <c r="AO337" s="23"/>
    </row>
    <row r="338" spans="37:41" s="19" customFormat="1" ht="11.25" customHeight="1" x14ac:dyDescent="0.3">
      <c r="AK338" s="23"/>
      <c r="AL338" s="23"/>
      <c r="AM338" s="23"/>
      <c r="AN338" s="23"/>
      <c r="AO338" s="23"/>
    </row>
    <row r="339" spans="37:41" s="19" customFormat="1" ht="11.25" customHeight="1" x14ac:dyDescent="0.3">
      <c r="AK339" s="23"/>
      <c r="AL339" s="23"/>
      <c r="AM339" s="23"/>
      <c r="AN339" s="23"/>
      <c r="AO339" s="23"/>
    </row>
    <row r="340" spans="37:41" s="19" customFormat="1" ht="11.25" customHeight="1" x14ac:dyDescent="0.3">
      <c r="AK340" s="23"/>
      <c r="AL340" s="23"/>
      <c r="AM340" s="23"/>
      <c r="AN340" s="23"/>
      <c r="AO340" s="23"/>
    </row>
    <row r="341" spans="37:41" s="19" customFormat="1" ht="11.25" customHeight="1" x14ac:dyDescent="0.3">
      <c r="AK341" s="23"/>
      <c r="AL341" s="23"/>
      <c r="AM341" s="23"/>
      <c r="AN341" s="23"/>
      <c r="AO341" s="23"/>
    </row>
    <row r="342" spans="37:41" s="19" customFormat="1" ht="11.25" customHeight="1" x14ac:dyDescent="0.3">
      <c r="AK342" s="23"/>
      <c r="AL342" s="23"/>
      <c r="AM342" s="23"/>
      <c r="AN342" s="23"/>
      <c r="AO342" s="23"/>
    </row>
    <row r="343" spans="37:41" s="19" customFormat="1" ht="11.25" customHeight="1" x14ac:dyDescent="0.3">
      <c r="AK343" s="23"/>
      <c r="AL343" s="23"/>
      <c r="AM343" s="23"/>
      <c r="AN343" s="23"/>
      <c r="AO343" s="23"/>
    </row>
    <row r="344" spans="37:41" s="19" customFormat="1" ht="11.25" customHeight="1" x14ac:dyDescent="0.3">
      <c r="AK344" s="23"/>
      <c r="AL344" s="23"/>
      <c r="AM344" s="23"/>
      <c r="AN344" s="23"/>
      <c r="AO344" s="23"/>
    </row>
    <row r="345" spans="37:41" s="19" customFormat="1" ht="11.25" customHeight="1" x14ac:dyDescent="0.3">
      <c r="AK345" s="23"/>
      <c r="AL345" s="23"/>
      <c r="AM345" s="23"/>
      <c r="AN345" s="23"/>
      <c r="AO345" s="23"/>
    </row>
    <row r="346" spans="37:41" s="19" customFormat="1" ht="11.25" customHeight="1" x14ac:dyDescent="0.3">
      <c r="AK346" s="23"/>
      <c r="AL346" s="23"/>
      <c r="AM346" s="23"/>
      <c r="AN346" s="23"/>
      <c r="AO346" s="23"/>
    </row>
    <row r="347" spans="37:41" s="19" customFormat="1" ht="11.25" customHeight="1" x14ac:dyDescent="0.3">
      <c r="AK347" s="23"/>
      <c r="AL347" s="23"/>
      <c r="AM347" s="23"/>
      <c r="AN347" s="23"/>
      <c r="AO347" s="23"/>
    </row>
    <row r="348" spans="37:41" s="19" customFormat="1" ht="11.25" customHeight="1" x14ac:dyDescent="0.3">
      <c r="AK348" s="23"/>
      <c r="AL348" s="23"/>
      <c r="AM348" s="23"/>
      <c r="AN348" s="23"/>
      <c r="AO348" s="23"/>
    </row>
    <row r="349" spans="37:41" s="19" customFormat="1" ht="11.25" customHeight="1" x14ac:dyDescent="0.3">
      <c r="AK349" s="23"/>
      <c r="AL349" s="23"/>
      <c r="AM349" s="23"/>
      <c r="AN349" s="23"/>
      <c r="AO349" s="23"/>
    </row>
    <row r="350" spans="37:41" s="19" customFormat="1" ht="11.25" customHeight="1" x14ac:dyDescent="0.3">
      <c r="AK350" s="23"/>
      <c r="AL350" s="23"/>
      <c r="AM350" s="23"/>
      <c r="AN350" s="23"/>
      <c r="AO350" s="23"/>
    </row>
    <row r="351" spans="37:41" s="19" customFormat="1" ht="11.25" customHeight="1" x14ac:dyDescent="0.3">
      <c r="AK351" s="23"/>
      <c r="AL351" s="23"/>
      <c r="AM351" s="23"/>
      <c r="AN351" s="23"/>
      <c r="AO351" s="23"/>
    </row>
    <row r="352" spans="37:41" s="19" customFormat="1" ht="11.25" customHeight="1" x14ac:dyDescent="0.3">
      <c r="AK352" s="23"/>
      <c r="AL352" s="23"/>
      <c r="AM352" s="23"/>
      <c r="AN352" s="23"/>
      <c r="AO352" s="23"/>
    </row>
    <row r="353" spans="37:41" s="19" customFormat="1" ht="11.25" customHeight="1" x14ac:dyDescent="0.3">
      <c r="AK353" s="23"/>
      <c r="AL353" s="23"/>
      <c r="AM353" s="23"/>
      <c r="AN353" s="23"/>
      <c r="AO353" s="23"/>
    </row>
    <row r="354" spans="37:41" s="19" customFormat="1" ht="11.25" customHeight="1" x14ac:dyDescent="0.3">
      <c r="AK354" s="23"/>
      <c r="AL354" s="23"/>
      <c r="AM354" s="23"/>
      <c r="AN354" s="23"/>
      <c r="AO354" s="23"/>
    </row>
    <row r="355" spans="37:41" s="19" customFormat="1" ht="11.25" customHeight="1" x14ac:dyDescent="0.3">
      <c r="AK355" s="23"/>
      <c r="AL355" s="23"/>
      <c r="AM355" s="23"/>
      <c r="AN355" s="23"/>
      <c r="AO355" s="23"/>
    </row>
    <row r="356" spans="37:41" s="19" customFormat="1" ht="11.25" customHeight="1" x14ac:dyDescent="0.3">
      <c r="AK356" s="23"/>
      <c r="AL356" s="23"/>
      <c r="AM356" s="23"/>
      <c r="AN356" s="23"/>
      <c r="AO356" s="23"/>
    </row>
    <row r="357" spans="37:41" s="19" customFormat="1" ht="11.25" customHeight="1" x14ac:dyDescent="0.3">
      <c r="AK357" s="23"/>
      <c r="AL357" s="23"/>
      <c r="AM357" s="23"/>
      <c r="AN357" s="23"/>
      <c r="AO357" s="23"/>
    </row>
    <row r="358" spans="37:41" s="19" customFormat="1" ht="11.25" customHeight="1" x14ac:dyDescent="0.3">
      <c r="AK358" s="23"/>
      <c r="AL358" s="23"/>
      <c r="AM358" s="23"/>
      <c r="AN358" s="23"/>
      <c r="AO358" s="23"/>
    </row>
    <row r="359" spans="37:41" s="19" customFormat="1" ht="11.25" customHeight="1" x14ac:dyDescent="0.3">
      <c r="AK359" s="23"/>
      <c r="AL359" s="23"/>
      <c r="AM359" s="23"/>
      <c r="AN359" s="23"/>
      <c r="AO359" s="23"/>
    </row>
    <row r="360" spans="37:41" s="19" customFormat="1" ht="11.25" customHeight="1" x14ac:dyDescent="0.3">
      <c r="AK360" s="23"/>
      <c r="AL360" s="23"/>
      <c r="AM360" s="23"/>
      <c r="AN360" s="23"/>
      <c r="AO360" s="23"/>
    </row>
    <row r="361" spans="37:41" s="19" customFormat="1" ht="11.25" customHeight="1" x14ac:dyDescent="0.3">
      <c r="AK361" s="23"/>
      <c r="AL361" s="23"/>
      <c r="AM361" s="23"/>
      <c r="AN361" s="23"/>
      <c r="AO361" s="23"/>
    </row>
    <row r="362" spans="37:41" s="19" customFormat="1" ht="11.25" customHeight="1" x14ac:dyDescent="0.3">
      <c r="AK362" s="23"/>
      <c r="AL362" s="23"/>
      <c r="AM362" s="23"/>
      <c r="AN362" s="23"/>
      <c r="AO362" s="23"/>
    </row>
    <row r="363" spans="37:41" s="19" customFormat="1" ht="11.25" customHeight="1" x14ac:dyDescent="0.3">
      <c r="AK363" s="23"/>
      <c r="AL363" s="23"/>
      <c r="AM363" s="23"/>
      <c r="AN363" s="23"/>
      <c r="AO363" s="23"/>
    </row>
    <row r="364" spans="37:41" s="19" customFormat="1" ht="11.25" customHeight="1" x14ac:dyDescent="0.3">
      <c r="AK364" s="23"/>
      <c r="AL364" s="23"/>
      <c r="AM364" s="23"/>
      <c r="AN364" s="23"/>
      <c r="AO364" s="23"/>
    </row>
    <row r="365" spans="37:41" s="19" customFormat="1" ht="11.25" customHeight="1" x14ac:dyDescent="0.3">
      <c r="AK365" s="23"/>
      <c r="AL365" s="23"/>
      <c r="AM365" s="23"/>
      <c r="AN365" s="23"/>
      <c r="AO365" s="23"/>
    </row>
    <row r="366" spans="37:41" s="19" customFormat="1" ht="11.25" customHeight="1" x14ac:dyDescent="0.3">
      <c r="AK366" s="23"/>
      <c r="AL366" s="23"/>
      <c r="AM366" s="23"/>
      <c r="AN366" s="23"/>
      <c r="AO366" s="23"/>
    </row>
    <row r="367" spans="37:41" s="19" customFormat="1" ht="11.25" customHeight="1" x14ac:dyDescent="0.3">
      <c r="AK367" s="23"/>
      <c r="AL367" s="23"/>
      <c r="AM367" s="23"/>
      <c r="AN367" s="23"/>
      <c r="AO367" s="23"/>
    </row>
    <row r="368" spans="37:41" s="19" customFormat="1" ht="11.25" customHeight="1" x14ac:dyDescent="0.3">
      <c r="AK368" s="23"/>
      <c r="AL368" s="23"/>
      <c r="AM368" s="23"/>
      <c r="AN368" s="23"/>
      <c r="AO368" s="23"/>
    </row>
    <row r="369" spans="37:41" s="19" customFormat="1" ht="11.25" customHeight="1" x14ac:dyDescent="0.3">
      <c r="AK369" s="23"/>
      <c r="AL369" s="23"/>
      <c r="AM369" s="23"/>
      <c r="AN369" s="23"/>
      <c r="AO369" s="23"/>
    </row>
    <row r="370" spans="37:41" s="19" customFormat="1" ht="11.25" customHeight="1" x14ac:dyDescent="0.3">
      <c r="AK370" s="23"/>
      <c r="AL370" s="23"/>
      <c r="AM370" s="23"/>
      <c r="AN370" s="23"/>
      <c r="AO370" s="23"/>
    </row>
    <row r="371" spans="37:41" s="19" customFormat="1" ht="11.25" customHeight="1" x14ac:dyDescent="0.3">
      <c r="AK371" s="23"/>
      <c r="AL371" s="23"/>
      <c r="AM371" s="23"/>
      <c r="AN371" s="23"/>
      <c r="AO371" s="23"/>
    </row>
    <row r="372" spans="37:41" s="19" customFormat="1" ht="11.25" customHeight="1" x14ac:dyDescent="0.3">
      <c r="AK372" s="23"/>
      <c r="AL372" s="23"/>
      <c r="AM372" s="23"/>
      <c r="AN372" s="23"/>
      <c r="AO372" s="23"/>
    </row>
    <row r="373" spans="37:41" s="19" customFormat="1" ht="11.25" customHeight="1" x14ac:dyDescent="0.3">
      <c r="AK373" s="23"/>
      <c r="AL373" s="23"/>
      <c r="AM373" s="23"/>
      <c r="AN373" s="23"/>
      <c r="AO373" s="23"/>
    </row>
    <row r="374" spans="37:41" s="19" customFormat="1" ht="11.25" customHeight="1" x14ac:dyDescent="0.3">
      <c r="AK374" s="23"/>
      <c r="AL374" s="23"/>
      <c r="AM374" s="23"/>
      <c r="AN374" s="23"/>
      <c r="AO374" s="23"/>
    </row>
    <row r="375" spans="37:41" s="19" customFormat="1" ht="11.25" customHeight="1" x14ac:dyDescent="0.3">
      <c r="AK375" s="23"/>
      <c r="AL375" s="23"/>
      <c r="AM375" s="23"/>
      <c r="AN375" s="23"/>
      <c r="AO375" s="23"/>
    </row>
    <row r="376" spans="37:41" s="19" customFormat="1" ht="11.25" customHeight="1" x14ac:dyDescent="0.3">
      <c r="AK376" s="23"/>
      <c r="AL376" s="23"/>
      <c r="AM376" s="23"/>
      <c r="AN376" s="23"/>
      <c r="AO376" s="23"/>
    </row>
    <row r="377" spans="37:41" s="19" customFormat="1" ht="11.25" customHeight="1" x14ac:dyDescent="0.3">
      <c r="AK377" s="23"/>
      <c r="AL377" s="23"/>
      <c r="AM377" s="23"/>
      <c r="AN377" s="23"/>
      <c r="AO377" s="23"/>
    </row>
    <row r="378" spans="37:41" s="19" customFormat="1" ht="11.25" customHeight="1" x14ac:dyDescent="0.3">
      <c r="AK378" s="23"/>
      <c r="AL378" s="23"/>
      <c r="AM378" s="23"/>
      <c r="AN378" s="23"/>
      <c r="AO378" s="23"/>
    </row>
    <row r="379" spans="37:41" s="19" customFormat="1" ht="11.25" customHeight="1" x14ac:dyDescent="0.3">
      <c r="AK379" s="23"/>
      <c r="AL379" s="23"/>
      <c r="AM379" s="23"/>
      <c r="AN379" s="23"/>
      <c r="AO379" s="23"/>
    </row>
    <row r="380" spans="37:41" s="19" customFormat="1" ht="11.25" customHeight="1" x14ac:dyDescent="0.3">
      <c r="AK380" s="23"/>
      <c r="AL380" s="23"/>
      <c r="AM380" s="23"/>
      <c r="AN380" s="23"/>
      <c r="AO380" s="23"/>
    </row>
    <row r="381" spans="37:41" s="19" customFormat="1" ht="11.25" customHeight="1" x14ac:dyDescent="0.3">
      <c r="AK381" s="23"/>
      <c r="AL381" s="23"/>
      <c r="AM381" s="23"/>
      <c r="AN381" s="23"/>
      <c r="AO381" s="23"/>
    </row>
    <row r="382" spans="37:41" s="19" customFormat="1" ht="11.25" customHeight="1" x14ac:dyDescent="0.3">
      <c r="AK382" s="23"/>
      <c r="AL382" s="23"/>
      <c r="AM382" s="23"/>
      <c r="AN382" s="23"/>
      <c r="AO382" s="23"/>
    </row>
    <row r="383" spans="37:41" s="19" customFormat="1" ht="11.25" customHeight="1" x14ac:dyDescent="0.3">
      <c r="AK383" s="23"/>
      <c r="AL383" s="23"/>
      <c r="AM383" s="23"/>
      <c r="AN383" s="23"/>
      <c r="AO383" s="23"/>
    </row>
    <row r="384" spans="37:41" s="19" customFormat="1" ht="11.25" customHeight="1" x14ac:dyDescent="0.3">
      <c r="AK384" s="23"/>
      <c r="AL384" s="23"/>
      <c r="AM384" s="23"/>
      <c r="AN384" s="23"/>
      <c r="AO384" s="23"/>
    </row>
    <row r="385" spans="37:41" s="19" customFormat="1" ht="11.25" customHeight="1" x14ac:dyDescent="0.3">
      <c r="AK385" s="23"/>
      <c r="AL385" s="23"/>
      <c r="AM385" s="23"/>
      <c r="AN385" s="23"/>
      <c r="AO385" s="23"/>
    </row>
    <row r="386" spans="37:41" s="19" customFormat="1" ht="11.25" customHeight="1" x14ac:dyDescent="0.3">
      <c r="AK386" s="23"/>
      <c r="AL386" s="23"/>
      <c r="AM386" s="23"/>
      <c r="AN386" s="23"/>
      <c r="AO386" s="23"/>
    </row>
    <row r="387" spans="37:41" s="19" customFormat="1" ht="11.25" customHeight="1" x14ac:dyDescent="0.3">
      <c r="AK387" s="23"/>
      <c r="AL387" s="23"/>
      <c r="AM387" s="23"/>
      <c r="AN387" s="23"/>
      <c r="AO387" s="23"/>
    </row>
    <row r="388" spans="37:41" s="19" customFormat="1" ht="11.25" customHeight="1" x14ac:dyDescent="0.3">
      <c r="AK388" s="23"/>
      <c r="AL388" s="23"/>
      <c r="AM388" s="23"/>
      <c r="AN388" s="23"/>
      <c r="AO388" s="23"/>
    </row>
    <row r="389" spans="37:41" s="19" customFormat="1" ht="11.25" customHeight="1" x14ac:dyDescent="0.3">
      <c r="AK389" s="23"/>
      <c r="AL389" s="23"/>
      <c r="AM389" s="23"/>
      <c r="AN389" s="23"/>
      <c r="AO389" s="23"/>
    </row>
    <row r="390" spans="37:41" s="19" customFormat="1" ht="11.25" customHeight="1" x14ac:dyDescent="0.3">
      <c r="AK390" s="23"/>
      <c r="AL390" s="23"/>
      <c r="AM390" s="23"/>
      <c r="AN390" s="23"/>
      <c r="AO390" s="23"/>
    </row>
    <row r="391" spans="37:41" s="19" customFormat="1" ht="11.25" customHeight="1" x14ac:dyDescent="0.3">
      <c r="AK391" s="23"/>
      <c r="AL391" s="23"/>
      <c r="AM391" s="23"/>
      <c r="AN391" s="23"/>
      <c r="AO391" s="23"/>
    </row>
    <row r="392" spans="37:41" s="19" customFormat="1" ht="11.25" customHeight="1" x14ac:dyDescent="0.3">
      <c r="AK392" s="23"/>
      <c r="AL392" s="23"/>
      <c r="AM392" s="23"/>
      <c r="AN392" s="23"/>
      <c r="AO392" s="23"/>
    </row>
    <row r="393" spans="37:41" s="19" customFormat="1" ht="11.25" customHeight="1" x14ac:dyDescent="0.3">
      <c r="AK393" s="23"/>
      <c r="AL393" s="23"/>
      <c r="AM393" s="23"/>
      <c r="AN393" s="23"/>
      <c r="AO393" s="23"/>
    </row>
    <row r="394" spans="37:41" s="19" customFormat="1" ht="11.25" customHeight="1" x14ac:dyDescent="0.3">
      <c r="AK394" s="23"/>
      <c r="AL394" s="23"/>
      <c r="AM394" s="23"/>
      <c r="AN394" s="23"/>
      <c r="AO394" s="23"/>
    </row>
    <row r="395" spans="37:41" s="19" customFormat="1" ht="11.25" customHeight="1" x14ac:dyDescent="0.3">
      <c r="AK395" s="23"/>
      <c r="AL395" s="23"/>
      <c r="AM395" s="23"/>
      <c r="AN395" s="23"/>
      <c r="AO395" s="23"/>
    </row>
    <row r="396" spans="37:41" s="19" customFormat="1" ht="11.25" customHeight="1" x14ac:dyDescent="0.3">
      <c r="AK396" s="23"/>
      <c r="AL396" s="23"/>
      <c r="AM396" s="23"/>
      <c r="AN396" s="23"/>
      <c r="AO396" s="23"/>
    </row>
    <row r="397" spans="37:41" s="19" customFormat="1" ht="11.25" customHeight="1" x14ac:dyDescent="0.3">
      <c r="AK397" s="23"/>
      <c r="AL397" s="23"/>
      <c r="AM397" s="23"/>
      <c r="AN397" s="23"/>
      <c r="AO397" s="23"/>
    </row>
    <row r="398" spans="37:41" s="19" customFormat="1" ht="11.25" customHeight="1" x14ac:dyDescent="0.3">
      <c r="AK398" s="23"/>
      <c r="AL398" s="23"/>
      <c r="AM398" s="23"/>
      <c r="AN398" s="23"/>
      <c r="AO398" s="23"/>
    </row>
    <row r="399" spans="37:41" s="19" customFormat="1" ht="11.25" customHeight="1" x14ac:dyDescent="0.3">
      <c r="AK399" s="23"/>
      <c r="AL399" s="23"/>
      <c r="AM399" s="23"/>
      <c r="AN399" s="23"/>
      <c r="AO399" s="23"/>
    </row>
    <row r="400" spans="37:41" s="19" customFormat="1" ht="11.25" customHeight="1" x14ac:dyDescent="0.3">
      <c r="AK400" s="23"/>
      <c r="AL400" s="23"/>
      <c r="AM400" s="23"/>
      <c r="AN400" s="23"/>
      <c r="AO400" s="23"/>
    </row>
    <row r="401" spans="37:41" s="19" customFormat="1" ht="11.25" customHeight="1" x14ac:dyDescent="0.3">
      <c r="AK401" s="23"/>
      <c r="AL401" s="23"/>
      <c r="AM401" s="23"/>
      <c r="AN401" s="23"/>
      <c r="AO401" s="23"/>
    </row>
    <row r="402" spans="37:41" s="19" customFormat="1" ht="11.25" customHeight="1" x14ac:dyDescent="0.3">
      <c r="AK402" s="23"/>
      <c r="AL402" s="23"/>
      <c r="AM402" s="23"/>
      <c r="AN402" s="23"/>
      <c r="AO402" s="23"/>
    </row>
    <row r="403" spans="37:41" s="19" customFormat="1" ht="11.25" customHeight="1" x14ac:dyDescent="0.3">
      <c r="AK403" s="23"/>
      <c r="AL403" s="23"/>
      <c r="AM403" s="23"/>
      <c r="AN403" s="23"/>
      <c r="AO403" s="23"/>
    </row>
    <row r="404" spans="37:41" s="19" customFormat="1" ht="11.25" customHeight="1" x14ac:dyDescent="0.3">
      <c r="AK404" s="23"/>
      <c r="AL404" s="23"/>
      <c r="AM404" s="23"/>
      <c r="AN404" s="23"/>
      <c r="AO404" s="23"/>
    </row>
    <row r="405" spans="37:41" s="19" customFormat="1" ht="11.25" customHeight="1" x14ac:dyDescent="0.3">
      <c r="AK405" s="23"/>
      <c r="AL405" s="23"/>
      <c r="AM405" s="23"/>
      <c r="AN405" s="23"/>
      <c r="AO405" s="23"/>
    </row>
    <row r="406" spans="37:41" s="19" customFormat="1" ht="11.25" customHeight="1" x14ac:dyDescent="0.3">
      <c r="AK406" s="23"/>
      <c r="AL406" s="23"/>
      <c r="AM406" s="23"/>
      <c r="AN406" s="23"/>
      <c r="AO406" s="23"/>
    </row>
    <row r="407" spans="37:41" s="19" customFormat="1" ht="11.25" customHeight="1" x14ac:dyDescent="0.3">
      <c r="AK407" s="23"/>
      <c r="AL407" s="23"/>
      <c r="AM407" s="23"/>
      <c r="AN407" s="23"/>
      <c r="AO407" s="23"/>
    </row>
    <row r="408" spans="37:41" s="19" customFormat="1" ht="11.25" customHeight="1" x14ac:dyDescent="0.3">
      <c r="AK408" s="23"/>
      <c r="AL408" s="23"/>
      <c r="AM408" s="23"/>
      <c r="AN408" s="23"/>
      <c r="AO408" s="23"/>
    </row>
    <row r="409" spans="37:41" s="19" customFormat="1" ht="11.25" customHeight="1" x14ac:dyDescent="0.3">
      <c r="AK409" s="23"/>
      <c r="AL409" s="23"/>
      <c r="AM409" s="23"/>
      <c r="AN409" s="23"/>
      <c r="AO409" s="23"/>
    </row>
    <row r="410" spans="37:41" s="19" customFormat="1" ht="11.25" customHeight="1" x14ac:dyDescent="0.3">
      <c r="AK410" s="23"/>
      <c r="AL410" s="23"/>
      <c r="AM410" s="23"/>
      <c r="AN410" s="23"/>
      <c r="AO410" s="23"/>
    </row>
    <row r="411" spans="37:41" s="19" customFormat="1" ht="11.25" customHeight="1" x14ac:dyDescent="0.3">
      <c r="AK411" s="23"/>
      <c r="AL411" s="23"/>
      <c r="AM411" s="23"/>
      <c r="AN411" s="23"/>
      <c r="AO411" s="23"/>
    </row>
    <row r="412" spans="37:41" s="19" customFormat="1" ht="11.25" customHeight="1" x14ac:dyDescent="0.3">
      <c r="AK412" s="23"/>
      <c r="AL412" s="23"/>
      <c r="AM412" s="23"/>
      <c r="AN412" s="23"/>
      <c r="AO412" s="23"/>
    </row>
    <row r="413" spans="37:41" s="19" customFormat="1" ht="11.25" customHeight="1" x14ac:dyDescent="0.3">
      <c r="AK413" s="23"/>
      <c r="AL413" s="23"/>
      <c r="AM413" s="23"/>
      <c r="AN413" s="23"/>
      <c r="AO413" s="23"/>
    </row>
    <row r="414" spans="37:41" s="19" customFormat="1" ht="11.25" customHeight="1" x14ac:dyDescent="0.3">
      <c r="AK414" s="23"/>
      <c r="AL414" s="23"/>
      <c r="AM414" s="23"/>
      <c r="AN414" s="23"/>
      <c r="AO414" s="23"/>
    </row>
    <row r="415" spans="37:41" s="19" customFormat="1" ht="11.25" customHeight="1" x14ac:dyDescent="0.3">
      <c r="AK415" s="23"/>
      <c r="AL415" s="23"/>
      <c r="AM415" s="23"/>
      <c r="AN415" s="23"/>
      <c r="AO415" s="23"/>
    </row>
    <row r="416" spans="37:41" s="19" customFormat="1" ht="11.25" customHeight="1" x14ac:dyDescent="0.3">
      <c r="AK416" s="23"/>
      <c r="AL416" s="23"/>
      <c r="AM416" s="23"/>
      <c r="AN416" s="23"/>
      <c r="AO416" s="23"/>
    </row>
    <row r="417" spans="37:41" s="19" customFormat="1" ht="11.25" customHeight="1" x14ac:dyDescent="0.3">
      <c r="AK417" s="23"/>
      <c r="AL417" s="23"/>
      <c r="AM417" s="23"/>
      <c r="AN417" s="23"/>
      <c r="AO417" s="23"/>
    </row>
    <row r="418" spans="37:41" s="19" customFormat="1" ht="11.25" customHeight="1" x14ac:dyDescent="0.3">
      <c r="AK418" s="23"/>
      <c r="AL418" s="23"/>
      <c r="AM418" s="23"/>
      <c r="AN418" s="23"/>
      <c r="AO418" s="23"/>
    </row>
    <row r="419" spans="37:41" s="19" customFormat="1" ht="11.25" customHeight="1" x14ac:dyDescent="0.3">
      <c r="AK419" s="23"/>
      <c r="AL419" s="23"/>
      <c r="AM419" s="23"/>
      <c r="AN419" s="23"/>
      <c r="AO419" s="23"/>
    </row>
    <row r="420" spans="37:41" s="19" customFormat="1" ht="11.25" customHeight="1" x14ac:dyDescent="0.3">
      <c r="AK420" s="23"/>
      <c r="AL420" s="23"/>
      <c r="AM420" s="23"/>
      <c r="AN420" s="23"/>
      <c r="AO420" s="23"/>
    </row>
    <row r="421" spans="37:41" s="19" customFormat="1" ht="11.25" customHeight="1" x14ac:dyDescent="0.3">
      <c r="AK421" s="23"/>
      <c r="AL421" s="23"/>
      <c r="AM421" s="23"/>
      <c r="AN421" s="23"/>
      <c r="AO421" s="23"/>
    </row>
    <row r="422" spans="37:41" s="19" customFormat="1" ht="11.25" customHeight="1" x14ac:dyDescent="0.3">
      <c r="AK422" s="23"/>
      <c r="AL422" s="23"/>
      <c r="AM422" s="23"/>
      <c r="AN422" s="23"/>
      <c r="AO422" s="23"/>
    </row>
    <row r="423" spans="37:41" s="19" customFormat="1" ht="11.25" customHeight="1" x14ac:dyDescent="0.3">
      <c r="AK423" s="23"/>
      <c r="AL423" s="23"/>
      <c r="AM423" s="23"/>
      <c r="AN423" s="23"/>
      <c r="AO423" s="23"/>
    </row>
    <row r="424" spans="37:41" s="19" customFormat="1" ht="11.25" customHeight="1" x14ac:dyDescent="0.3">
      <c r="AK424" s="23"/>
      <c r="AL424" s="23"/>
      <c r="AM424" s="23"/>
      <c r="AN424" s="23"/>
      <c r="AO424" s="23"/>
    </row>
    <row r="425" spans="37:41" s="19" customFormat="1" ht="11.25" customHeight="1" x14ac:dyDescent="0.3">
      <c r="AK425" s="23"/>
      <c r="AL425" s="23"/>
      <c r="AM425" s="23"/>
      <c r="AN425" s="23"/>
      <c r="AO425" s="23"/>
    </row>
    <row r="426" spans="37:41" s="19" customFormat="1" ht="11.25" customHeight="1" x14ac:dyDescent="0.3">
      <c r="AK426" s="23"/>
      <c r="AL426" s="23"/>
      <c r="AM426" s="23"/>
      <c r="AN426" s="23"/>
      <c r="AO426" s="23"/>
    </row>
    <row r="427" spans="37:41" s="19" customFormat="1" ht="11.25" customHeight="1" x14ac:dyDescent="0.3">
      <c r="AK427" s="23"/>
      <c r="AL427" s="23"/>
      <c r="AM427" s="23"/>
      <c r="AN427" s="23"/>
      <c r="AO427" s="23"/>
    </row>
    <row r="428" spans="37:41" s="19" customFormat="1" ht="11.25" customHeight="1" x14ac:dyDescent="0.3">
      <c r="AK428" s="23"/>
      <c r="AL428" s="23"/>
      <c r="AM428" s="23"/>
      <c r="AN428" s="23"/>
      <c r="AO428" s="23"/>
    </row>
    <row r="429" spans="37:41" s="19" customFormat="1" ht="11.25" customHeight="1" x14ac:dyDescent="0.3">
      <c r="AK429" s="23"/>
      <c r="AL429" s="23"/>
      <c r="AM429" s="23"/>
      <c r="AN429" s="23"/>
      <c r="AO429" s="23"/>
    </row>
    <row r="430" spans="37:41" s="19" customFormat="1" ht="11.25" customHeight="1" x14ac:dyDescent="0.3">
      <c r="AK430" s="23"/>
      <c r="AL430" s="23"/>
      <c r="AM430" s="23"/>
      <c r="AN430" s="23"/>
      <c r="AO430" s="23"/>
    </row>
    <row r="431" spans="37:41" s="19" customFormat="1" ht="11.25" customHeight="1" x14ac:dyDescent="0.3">
      <c r="AK431" s="23"/>
      <c r="AL431" s="23"/>
      <c r="AM431" s="23"/>
      <c r="AN431" s="23"/>
      <c r="AO431" s="23"/>
    </row>
    <row r="432" spans="37:41" s="19" customFormat="1" ht="11.25" customHeight="1" x14ac:dyDescent="0.3">
      <c r="AK432" s="23"/>
      <c r="AL432" s="23"/>
      <c r="AM432" s="23"/>
      <c r="AN432" s="23"/>
      <c r="AO432" s="23"/>
    </row>
    <row r="433" spans="37:41" s="19" customFormat="1" ht="11.25" customHeight="1" x14ac:dyDescent="0.3">
      <c r="AK433" s="23"/>
      <c r="AL433" s="23"/>
      <c r="AM433" s="23"/>
      <c r="AN433" s="23"/>
      <c r="AO433" s="23"/>
    </row>
    <row r="434" spans="37:41" s="19" customFormat="1" ht="11.25" customHeight="1" x14ac:dyDescent="0.3">
      <c r="AK434" s="23"/>
      <c r="AL434" s="23"/>
      <c r="AM434" s="23"/>
      <c r="AN434" s="23"/>
      <c r="AO434" s="23"/>
    </row>
    <row r="435" spans="37:41" s="19" customFormat="1" ht="11.25" customHeight="1" x14ac:dyDescent="0.3">
      <c r="AK435" s="23"/>
      <c r="AL435" s="23"/>
      <c r="AM435" s="23"/>
      <c r="AN435" s="23"/>
      <c r="AO435" s="23"/>
    </row>
    <row r="436" spans="37:41" s="19" customFormat="1" ht="11.25" customHeight="1" x14ac:dyDescent="0.3">
      <c r="AK436" s="23"/>
      <c r="AL436" s="23"/>
      <c r="AM436" s="23"/>
      <c r="AN436" s="23"/>
      <c r="AO436" s="23"/>
    </row>
    <row r="437" spans="37:41" s="19" customFormat="1" ht="11.25" customHeight="1" x14ac:dyDescent="0.3">
      <c r="AK437" s="23"/>
      <c r="AL437" s="23"/>
      <c r="AM437" s="23"/>
      <c r="AN437" s="23"/>
      <c r="AO437" s="23"/>
    </row>
    <row r="438" spans="37:41" s="19" customFormat="1" ht="11.25" customHeight="1" x14ac:dyDescent="0.3">
      <c r="AK438" s="23"/>
      <c r="AL438" s="23"/>
      <c r="AM438" s="23"/>
      <c r="AN438" s="23"/>
      <c r="AO438" s="23"/>
    </row>
    <row r="439" spans="37:41" s="19" customFormat="1" ht="11.25" customHeight="1" x14ac:dyDescent="0.3">
      <c r="AK439" s="23"/>
      <c r="AL439" s="23"/>
      <c r="AM439" s="23"/>
      <c r="AN439" s="23"/>
      <c r="AO439" s="23"/>
    </row>
    <row r="440" spans="37:41" s="19" customFormat="1" ht="11.25" customHeight="1" x14ac:dyDescent="0.3">
      <c r="AK440" s="23"/>
      <c r="AL440" s="23"/>
      <c r="AM440" s="23"/>
      <c r="AN440" s="23"/>
      <c r="AO440" s="23"/>
    </row>
    <row r="441" spans="37:41" s="19" customFormat="1" ht="11.25" customHeight="1" x14ac:dyDescent="0.3">
      <c r="AK441" s="23"/>
      <c r="AL441" s="23"/>
      <c r="AM441" s="23"/>
      <c r="AN441" s="23"/>
      <c r="AO441" s="23"/>
    </row>
    <row r="442" spans="37:41" s="19" customFormat="1" ht="11.25" customHeight="1" x14ac:dyDescent="0.3">
      <c r="AK442" s="23"/>
      <c r="AL442" s="23"/>
      <c r="AM442" s="23"/>
      <c r="AN442" s="23"/>
      <c r="AO442" s="23"/>
    </row>
    <row r="443" spans="37:41" s="19" customFormat="1" ht="11.25" customHeight="1" x14ac:dyDescent="0.3">
      <c r="AK443" s="23"/>
      <c r="AL443" s="23"/>
      <c r="AM443" s="23"/>
      <c r="AN443" s="23"/>
      <c r="AO443" s="23"/>
    </row>
    <row r="444" spans="37:41" s="19" customFormat="1" ht="11.25" customHeight="1" x14ac:dyDescent="0.3">
      <c r="AK444" s="23"/>
      <c r="AL444" s="23"/>
      <c r="AM444" s="23"/>
      <c r="AN444" s="23"/>
      <c r="AO444" s="23"/>
    </row>
    <row r="445" spans="37:41" s="19" customFormat="1" ht="11.25" customHeight="1" x14ac:dyDescent="0.3">
      <c r="AK445" s="23"/>
      <c r="AL445" s="23"/>
      <c r="AM445" s="23"/>
      <c r="AN445" s="23"/>
      <c r="AO445" s="23"/>
    </row>
    <row r="446" spans="37:41" s="19" customFormat="1" ht="11.25" customHeight="1" x14ac:dyDescent="0.3">
      <c r="AK446" s="23"/>
      <c r="AL446" s="23"/>
      <c r="AM446" s="23"/>
      <c r="AN446" s="23"/>
      <c r="AO446" s="23"/>
    </row>
    <row r="447" spans="37:41" s="19" customFormat="1" ht="11.25" customHeight="1" x14ac:dyDescent="0.3">
      <c r="AK447" s="23"/>
      <c r="AL447" s="23"/>
      <c r="AM447" s="23"/>
      <c r="AN447" s="23"/>
      <c r="AO447" s="23"/>
    </row>
    <row r="448" spans="37:41" s="19" customFormat="1" ht="11.25" customHeight="1" x14ac:dyDescent="0.3">
      <c r="AK448" s="23"/>
      <c r="AL448" s="23"/>
      <c r="AM448" s="23"/>
      <c r="AN448" s="23"/>
      <c r="AO448" s="23"/>
    </row>
    <row r="449" spans="37:41" s="19" customFormat="1" ht="11.25" customHeight="1" x14ac:dyDescent="0.3">
      <c r="AK449" s="23"/>
      <c r="AL449" s="23"/>
      <c r="AM449" s="23"/>
      <c r="AN449" s="23"/>
      <c r="AO449" s="23"/>
    </row>
    <row r="450" spans="37:41" s="19" customFormat="1" ht="11.25" customHeight="1" x14ac:dyDescent="0.3">
      <c r="AK450" s="23"/>
      <c r="AL450" s="23"/>
      <c r="AM450" s="23"/>
      <c r="AN450" s="23"/>
      <c r="AO450" s="23"/>
    </row>
    <row r="451" spans="37:41" s="19" customFormat="1" ht="11.25" customHeight="1" x14ac:dyDescent="0.3">
      <c r="AK451" s="23"/>
      <c r="AL451" s="23"/>
      <c r="AM451" s="23"/>
      <c r="AN451" s="23"/>
      <c r="AO451" s="23"/>
    </row>
    <row r="452" spans="37:41" s="19" customFormat="1" ht="11.25" customHeight="1" x14ac:dyDescent="0.3">
      <c r="AK452" s="23"/>
      <c r="AL452" s="23"/>
      <c r="AM452" s="23"/>
      <c r="AN452" s="23"/>
      <c r="AO452" s="23"/>
    </row>
    <row r="453" spans="37:41" s="19" customFormat="1" ht="11.25" customHeight="1" x14ac:dyDescent="0.3">
      <c r="AK453" s="23"/>
      <c r="AL453" s="23"/>
      <c r="AM453" s="23"/>
      <c r="AN453" s="23"/>
      <c r="AO453" s="23"/>
    </row>
    <row r="454" spans="37:41" s="19" customFormat="1" ht="11.25" customHeight="1" x14ac:dyDescent="0.3">
      <c r="AK454" s="23"/>
      <c r="AL454" s="23"/>
      <c r="AM454" s="23"/>
      <c r="AN454" s="23"/>
      <c r="AO454" s="23"/>
    </row>
    <row r="455" spans="37:41" s="19" customFormat="1" ht="11.25" customHeight="1" x14ac:dyDescent="0.3">
      <c r="AK455" s="23"/>
      <c r="AL455" s="23"/>
      <c r="AM455" s="23"/>
      <c r="AN455" s="23"/>
      <c r="AO455" s="23"/>
    </row>
    <row r="456" spans="37:41" s="19" customFormat="1" ht="11.25" customHeight="1" x14ac:dyDescent="0.3">
      <c r="AK456" s="23"/>
      <c r="AL456" s="23"/>
      <c r="AM456" s="23"/>
      <c r="AN456" s="23"/>
      <c r="AO456" s="23"/>
    </row>
    <row r="457" spans="37:41" s="19" customFormat="1" ht="11.25" customHeight="1" x14ac:dyDescent="0.3">
      <c r="AK457" s="23"/>
      <c r="AL457" s="23"/>
      <c r="AM457" s="23"/>
      <c r="AN457" s="23"/>
      <c r="AO457" s="23"/>
    </row>
    <row r="458" spans="37:41" s="19" customFormat="1" ht="11.25" customHeight="1" x14ac:dyDescent="0.3">
      <c r="AK458" s="23"/>
      <c r="AL458" s="23"/>
      <c r="AM458" s="23"/>
      <c r="AN458" s="23"/>
      <c r="AO458" s="23"/>
    </row>
    <row r="459" spans="37:41" s="19" customFormat="1" ht="11.25" customHeight="1" x14ac:dyDescent="0.3">
      <c r="AK459" s="23"/>
      <c r="AL459" s="23"/>
      <c r="AM459" s="23"/>
      <c r="AN459" s="23"/>
      <c r="AO459" s="23"/>
    </row>
    <row r="460" spans="37:41" s="19" customFormat="1" ht="11.25" customHeight="1" x14ac:dyDescent="0.3">
      <c r="AK460" s="23"/>
      <c r="AL460" s="23"/>
      <c r="AM460" s="23"/>
      <c r="AN460" s="23"/>
      <c r="AO460" s="23"/>
    </row>
    <row r="461" spans="37:41" s="19" customFormat="1" ht="11.25" customHeight="1" x14ac:dyDescent="0.3">
      <c r="AK461" s="23"/>
      <c r="AL461" s="23"/>
      <c r="AM461" s="23"/>
      <c r="AN461" s="23"/>
      <c r="AO461" s="23"/>
    </row>
    <row r="462" spans="37:41" s="19" customFormat="1" ht="11.25" customHeight="1" x14ac:dyDescent="0.3">
      <c r="AK462" s="23"/>
      <c r="AL462" s="23"/>
      <c r="AM462" s="23"/>
      <c r="AN462" s="23"/>
      <c r="AO462" s="23"/>
    </row>
    <row r="463" spans="37:41" s="19" customFormat="1" ht="11.25" customHeight="1" x14ac:dyDescent="0.3">
      <c r="AK463" s="23"/>
      <c r="AL463" s="23"/>
      <c r="AM463" s="23"/>
      <c r="AN463" s="23"/>
      <c r="AO463" s="23"/>
    </row>
    <row r="464" spans="37:41" s="19" customFormat="1" ht="11.25" customHeight="1" x14ac:dyDescent="0.3">
      <c r="AK464" s="23"/>
      <c r="AL464" s="23"/>
      <c r="AM464" s="23"/>
      <c r="AN464" s="23"/>
      <c r="AO464" s="23"/>
    </row>
    <row r="465" spans="37:41" s="19" customFormat="1" ht="11.25" customHeight="1" x14ac:dyDescent="0.3">
      <c r="AK465" s="23"/>
      <c r="AL465" s="23"/>
      <c r="AM465" s="23"/>
      <c r="AN465" s="23"/>
      <c r="AO465" s="23"/>
    </row>
    <row r="466" spans="37:41" s="19" customFormat="1" ht="11.25" customHeight="1" x14ac:dyDescent="0.3">
      <c r="AK466" s="23"/>
      <c r="AL466" s="23"/>
      <c r="AM466" s="23"/>
      <c r="AN466" s="23"/>
      <c r="AO466" s="23"/>
    </row>
    <row r="467" spans="37:41" s="19" customFormat="1" ht="11.25" customHeight="1" x14ac:dyDescent="0.3">
      <c r="AK467" s="23"/>
      <c r="AL467" s="23"/>
      <c r="AM467" s="23"/>
      <c r="AN467" s="23"/>
      <c r="AO467" s="23"/>
    </row>
    <row r="468" spans="37:41" s="19" customFormat="1" ht="11.25" customHeight="1" x14ac:dyDescent="0.3">
      <c r="AK468" s="23"/>
      <c r="AL468" s="23"/>
      <c r="AM468" s="23"/>
      <c r="AN468" s="23"/>
      <c r="AO468" s="23"/>
    </row>
    <row r="469" spans="37:41" s="19" customFormat="1" ht="11.25" customHeight="1" x14ac:dyDescent="0.3">
      <c r="AK469" s="23"/>
      <c r="AL469" s="23"/>
      <c r="AM469" s="23"/>
      <c r="AN469" s="23"/>
      <c r="AO469" s="23"/>
    </row>
    <row r="470" spans="37:41" s="19" customFormat="1" ht="11.25" customHeight="1" x14ac:dyDescent="0.3">
      <c r="AK470" s="23"/>
      <c r="AL470" s="23"/>
      <c r="AM470" s="23"/>
      <c r="AN470" s="23"/>
      <c r="AO470" s="23"/>
    </row>
    <row r="471" spans="37:41" s="19" customFormat="1" ht="11.25" customHeight="1" x14ac:dyDescent="0.3">
      <c r="AK471" s="23"/>
      <c r="AL471" s="23"/>
      <c r="AM471" s="23"/>
      <c r="AN471" s="23"/>
      <c r="AO471" s="23"/>
    </row>
    <row r="472" spans="37:41" s="19" customFormat="1" ht="11.25" customHeight="1" x14ac:dyDescent="0.3">
      <c r="AK472" s="23"/>
      <c r="AL472" s="23"/>
      <c r="AM472" s="23"/>
      <c r="AN472" s="23"/>
      <c r="AO472" s="23"/>
    </row>
    <row r="473" spans="37:41" s="19" customFormat="1" ht="11.25" customHeight="1" x14ac:dyDescent="0.3">
      <c r="AK473" s="23"/>
      <c r="AL473" s="23"/>
      <c r="AM473" s="23"/>
      <c r="AN473" s="23"/>
      <c r="AO473" s="23"/>
    </row>
    <row r="474" spans="37:41" s="19" customFormat="1" ht="11.25" customHeight="1" x14ac:dyDescent="0.3">
      <c r="AK474" s="23"/>
      <c r="AL474" s="23"/>
      <c r="AM474" s="23"/>
      <c r="AN474" s="23"/>
      <c r="AO474" s="23"/>
    </row>
    <row r="475" spans="37:41" s="19" customFormat="1" ht="11.25" customHeight="1" x14ac:dyDescent="0.3">
      <c r="AK475" s="23"/>
      <c r="AL475" s="23"/>
      <c r="AM475" s="23"/>
      <c r="AN475" s="23"/>
      <c r="AO475" s="23"/>
    </row>
    <row r="476" spans="37:41" s="19" customFormat="1" ht="11.25" customHeight="1" x14ac:dyDescent="0.3">
      <c r="AK476" s="23"/>
      <c r="AL476" s="23"/>
      <c r="AM476" s="23"/>
      <c r="AN476" s="23"/>
      <c r="AO476" s="23"/>
    </row>
    <row r="477" spans="37:41" s="19" customFormat="1" ht="11.25" customHeight="1" x14ac:dyDescent="0.3">
      <c r="AK477" s="23"/>
      <c r="AL477" s="23"/>
      <c r="AM477" s="23"/>
      <c r="AN477" s="23"/>
      <c r="AO477" s="23"/>
    </row>
    <row r="478" spans="37:41" s="19" customFormat="1" ht="11.25" customHeight="1" x14ac:dyDescent="0.3">
      <c r="AK478" s="23"/>
      <c r="AL478" s="23"/>
      <c r="AM478" s="23"/>
      <c r="AN478" s="23"/>
      <c r="AO478" s="23"/>
    </row>
    <row r="479" spans="37:41" s="19" customFormat="1" ht="11.25" customHeight="1" x14ac:dyDescent="0.3">
      <c r="AK479" s="23"/>
      <c r="AL479" s="23"/>
      <c r="AM479" s="23"/>
      <c r="AN479" s="23"/>
      <c r="AO479" s="23"/>
    </row>
    <row r="480" spans="37:41" s="19" customFormat="1" ht="11.25" customHeight="1" x14ac:dyDescent="0.3">
      <c r="AK480" s="23"/>
      <c r="AL480" s="23"/>
      <c r="AM480" s="23"/>
      <c r="AN480" s="23"/>
      <c r="AO480" s="23"/>
    </row>
    <row r="481" spans="37:41" s="19" customFormat="1" ht="11.25" customHeight="1" x14ac:dyDescent="0.3">
      <c r="AK481" s="23"/>
      <c r="AL481" s="23"/>
      <c r="AM481" s="23"/>
      <c r="AN481" s="23"/>
      <c r="AO481" s="23"/>
    </row>
    <row r="482" spans="37:41" s="19" customFormat="1" ht="11.25" customHeight="1" x14ac:dyDescent="0.3">
      <c r="AK482" s="23"/>
      <c r="AL482" s="23"/>
      <c r="AM482" s="23"/>
      <c r="AN482" s="23"/>
      <c r="AO482" s="23"/>
    </row>
    <row r="483" spans="37:41" s="19" customFormat="1" ht="11.25" customHeight="1" x14ac:dyDescent="0.3">
      <c r="AK483" s="23"/>
      <c r="AL483" s="23"/>
      <c r="AM483" s="23"/>
      <c r="AN483" s="23"/>
      <c r="AO483" s="23"/>
    </row>
    <row r="484" spans="37:41" s="19" customFormat="1" ht="11.25" customHeight="1" x14ac:dyDescent="0.3">
      <c r="AK484" s="23"/>
      <c r="AL484" s="23"/>
      <c r="AM484" s="23"/>
      <c r="AN484" s="23"/>
      <c r="AO484" s="23"/>
    </row>
    <row r="485" spans="37:41" s="19" customFormat="1" ht="11.25" customHeight="1" x14ac:dyDescent="0.3">
      <c r="AK485" s="23"/>
      <c r="AL485" s="23"/>
      <c r="AM485" s="23"/>
      <c r="AN485" s="23"/>
      <c r="AO485" s="23"/>
    </row>
    <row r="486" spans="37:41" s="19" customFormat="1" ht="11.25" customHeight="1" x14ac:dyDescent="0.3">
      <c r="AK486" s="23"/>
      <c r="AL486" s="23"/>
      <c r="AM486" s="23"/>
      <c r="AN486" s="23"/>
      <c r="AO486" s="23"/>
    </row>
    <row r="487" spans="37:41" s="19" customFormat="1" ht="11.25" customHeight="1" x14ac:dyDescent="0.3">
      <c r="AK487" s="23"/>
      <c r="AL487" s="23"/>
      <c r="AM487" s="23"/>
      <c r="AN487" s="23"/>
      <c r="AO487" s="23"/>
    </row>
    <row r="488" spans="37:41" s="19" customFormat="1" ht="11.25" customHeight="1" x14ac:dyDescent="0.3">
      <c r="AK488" s="23"/>
      <c r="AL488" s="23"/>
      <c r="AM488" s="23"/>
      <c r="AN488" s="23"/>
      <c r="AO488" s="23"/>
    </row>
    <row r="489" spans="37:41" s="19" customFormat="1" ht="11.25" customHeight="1" x14ac:dyDescent="0.3">
      <c r="AK489" s="23"/>
      <c r="AL489" s="23"/>
      <c r="AM489" s="23"/>
      <c r="AN489" s="23"/>
      <c r="AO489" s="23"/>
    </row>
    <row r="490" spans="37:41" s="19" customFormat="1" ht="11.25" customHeight="1" x14ac:dyDescent="0.3">
      <c r="AK490" s="23"/>
      <c r="AL490" s="23"/>
      <c r="AM490" s="23"/>
      <c r="AN490" s="23"/>
      <c r="AO490" s="23"/>
    </row>
    <row r="491" spans="37:41" s="19" customFormat="1" ht="11.25" customHeight="1" x14ac:dyDescent="0.3">
      <c r="AK491" s="23"/>
      <c r="AL491" s="23"/>
      <c r="AM491" s="23"/>
      <c r="AN491" s="23"/>
      <c r="AO491" s="23"/>
    </row>
    <row r="492" spans="37:41" s="19" customFormat="1" ht="11.25" customHeight="1" x14ac:dyDescent="0.3">
      <c r="AK492" s="23"/>
      <c r="AL492" s="23"/>
      <c r="AM492" s="23"/>
      <c r="AN492" s="23"/>
      <c r="AO492" s="23"/>
    </row>
    <row r="493" spans="37:41" s="19" customFormat="1" ht="11.25" customHeight="1" x14ac:dyDescent="0.3">
      <c r="AK493" s="23"/>
      <c r="AL493" s="23"/>
      <c r="AM493" s="23"/>
      <c r="AN493" s="23"/>
      <c r="AO493" s="23"/>
    </row>
    <row r="494" spans="37:41" s="19" customFormat="1" ht="11.25" customHeight="1" x14ac:dyDescent="0.3">
      <c r="AK494" s="23"/>
      <c r="AL494" s="23"/>
      <c r="AM494" s="23"/>
      <c r="AN494" s="23"/>
      <c r="AO494" s="23"/>
    </row>
    <row r="495" spans="37:41" s="19" customFormat="1" ht="11.25" customHeight="1" x14ac:dyDescent="0.3">
      <c r="AK495" s="23"/>
      <c r="AL495" s="23"/>
      <c r="AM495" s="23"/>
      <c r="AN495" s="23"/>
      <c r="AO495" s="23"/>
    </row>
    <row r="496" spans="37:41" s="19" customFormat="1" ht="11.25" customHeight="1" x14ac:dyDescent="0.3">
      <c r="AK496" s="23"/>
      <c r="AL496" s="23"/>
      <c r="AM496" s="23"/>
      <c r="AN496" s="23"/>
      <c r="AO496" s="23"/>
    </row>
    <row r="497" spans="37:41" s="19" customFormat="1" ht="11.25" customHeight="1" x14ac:dyDescent="0.3">
      <c r="AK497" s="23"/>
      <c r="AL497" s="23"/>
      <c r="AM497" s="23"/>
      <c r="AN497" s="23"/>
      <c r="AO497" s="23"/>
    </row>
    <row r="498" spans="37:41" s="19" customFormat="1" ht="11.25" customHeight="1" x14ac:dyDescent="0.3">
      <c r="AK498" s="23"/>
      <c r="AL498" s="23"/>
      <c r="AM498" s="23"/>
      <c r="AN498" s="23"/>
      <c r="AO498" s="23"/>
    </row>
    <row r="499" spans="37:41" s="19" customFormat="1" ht="11.25" customHeight="1" x14ac:dyDescent="0.3">
      <c r="AK499" s="23"/>
      <c r="AL499" s="23"/>
      <c r="AM499" s="23"/>
      <c r="AN499" s="23"/>
      <c r="AO499" s="23"/>
    </row>
    <row r="500" spans="37:41" s="19" customFormat="1" ht="11.25" customHeight="1" x14ac:dyDescent="0.3">
      <c r="AK500" s="23"/>
      <c r="AL500" s="23"/>
      <c r="AM500" s="23"/>
      <c r="AN500" s="23"/>
      <c r="AO500" s="23"/>
    </row>
    <row r="501" spans="37:41" s="19" customFormat="1" ht="11.25" customHeight="1" x14ac:dyDescent="0.3">
      <c r="AK501" s="23"/>
      <c r="AL501" s="23"/>
      <c r="AM501" s="23"/>
      <c r="AN501" s="23"/>
      <c r="AO501" s="23"/>
    </row>
    <row r="502" spans="37:41" s="19" customFormat="1" ht="11.25" customHeight="1" x14ac:dyDescent="0.3">
      <c r="AK502" s="23"/>
      <c r="AL502" s="23"/>
      <c r="AM502" s="23"/>
      <c r="AN502" s="23"/>
      <c r="AO502" s="23"/>
    </row>
    <row r="503" spans="37:41" s="19" customFormat="1" ht="11.25" customHeight="1" x14ac:dyDescent="0.3">
      <c r="AK503" s="23"/>
      <c r="AL503" s="23"/>
      <c r="AM503" s="23"/>
      <c r="AN503" s="23"/>
      <c r="AO503" s="23"/>
    </row>
    <row r="504" spans="37:41" s="19" customFormat="1" ht="11.25" customHeight="1" x14ac:dyDescent="0.3">
      <c r="AK504" s="23"/>
      <c r="AL504" s="23"/>
      <c r="AM504" s="23"/>
      <c r="AN504" s="23"/>
      <c r="AO504" s="23"/>
    </row>
    <row r="505" spans="37:41" s="19" customFormat="1" ht="11.25" customHeight="1" x14ac:dyDescent="0.3">
      <c r="AK505" s="23"/>
      <c r="AL505" s="23"/>
      <c r="AM505" s="23"/>
      <c r="AN505" s="23"/>
      <c r="AO505" s="23"/>
    </row>
    <row r="506" spans="37:41" s="19" customFormat="1" ht="11.25" customHeight="1" x14ac:dyDescent="0.3">
      <c r="AK506" s="23"/>
      <c r="AL506" s="23"/>
      <c r="AM506" s="23"/>
      <c r="AN506" s="23"/>
      <c r="AO506" s="23"/>
    </row>
    <row r="507" spans="37:41" s="19" customFormat="1" ht="11.25" customHeight="1" x14ac:dyDescent="0.3">
      <c r="AK507" s="23"/>
      <c r="AL507" s="23"/>
      <c r="AM507" s="23"/>
      <c r="AN507" s="23"/>
      <c r="AO507" s="23"/>
    </row>
    <row r="508" spans="37:41" s="19" customFormat="1" ht="11.25" customHeight="1" x14ac:dyDescent="0.3">
      <c r="AK508" s="23"/>
      <c r="AL508" s="23"/>
      <c r="AM508" s="23"/>
      <c r="AN508" s="23"/>
      <c r="AO508" s="23"/>
    </row>
    <row r="509" spans="37:41" s="19" customFormat="1" ht="11.25" customHeight="1" x14ac:dyDescent="0.3">
      <c r="AK509" s="23"/>
      <c r="AL509" s="23"/>
      <c r="AM509" s="23"/>
      <c r="AN509" s="23"/>
      <c r="AO509" s="23"/>
    </row>
    <row r="510" spans="37:41" s="19" customFormat="1" ht="11.25" customHeight="1" x14ac:dyDescent="0.3">
      <c r="AK510" s="23"/>
      <c r="AL510" s="23"/>
      <c r="AM510" s="23"/>
      <c r="AN510" s="23"/>
      <c r="AO510" s="23"/>
    </row>
    <row r="511" spans="37:41" s="19" customFormat="1" ht="11.25" customHeight="1" x14ac:dyDescent="0.3">
      <c r="AK511" s="23"/>
      <c r="AL511" s="23"/>
      <c r="AM511" s="23"/>
      <c r="AN511" s="23"/>
      <c r="AO511" s="23"/>
    </row>
    <row r="512" spans="37:41" s="19" customFormat="1" ht="11.25" customHeight="1" x14ac:dyDescent="0.3">
      <c r="AK512" s="23"/>
      <c r="AL512" s="23"/>
      <c r="AM512" s="23"/>
      <c r="AN512" s="23"/>
      <c r="AO512" s="23"/>
    </row>
    <row r="513" spans="37:41" s="19" customFormat="1" ht="11.25" customHeight="1" x14ac:dyDescent="0.3">
      <c r="AK513" s="23"/>
      <c r="AL513" s="23"/>
      <c r="AM513" s="23"/>
      <c r="AN513" s="23"/>
      <c r="AO513" s="23"/>
    </row>
    <row r="514" spans="37:41" s="19" customFormat="1" ht="11.25" customHeight="1" x14ac:dyDescent="0.3">
      <c r="AK514" s="23"/>
      <c r="AL514" s="23"/>
      <c r="AM514" s="23"/>
      <c r="AN514" s="23"/>
      <c r="AO514" s="23"/>
    </row>
    <row r="515" spans="37:41" s="19" customFormat="1" ht="11.25" customHeight="1" x14ac:dyDescent="0.3">
      <c r="AK515" s="23"/>
      <c r="AL515" s="23"/>
      <c r="AM515" s="23"/>
      <c r="AN515" s="23"/>
      <c r="AO515" s="23"/>
    </row>
    <row r="516" spans="37:41" s="19" customFormat="1" ht="11.25" customHeight="1" x14ac:dyDescent="0.3">
      <c r="AK516" s="23"/>
      <c r="AL516" s="23"/>
      <c r="AM516" s="23"/>
      <c r="AN516" s="23"/>
      <c r="AO516" s="23"/>
    </row>
    <row r="517" spans="37:41" s="19" customFormat="1" ht="11.25" customHeight="1" x14ac:dyDescent="0.3">
      <c r="AK517" s="23"/>
      <c r="AL517" s="23"/>
      <c r="AM517" s="23"/>
      <c r="AN517" s="23"/>
      <c r="AO517" s="23"/>
    </row>
    <row r="518" spans="37:41" s="19" customFormat="1" ht="11.25" customHeight="1" x14ac:dyDescent="0.3">
      <c r="AK518" s="23"/>
      <c r="AL518" s="23"/>
      <c r="AM518" s="23"/>
      <c r="AN518" s="23"/>
      <c r="AO518" s="23"/>
    </row>
    <row r="519" spans="37:41" s="19" customFormat="1" ht="11.25" customHeight="1" x14ac:dyDescent="0.3">
      <c r="AK519" s="23"/>
      <c r="AL519" s="23"/>
      <c r="AM519" s="23"/>
      <c r="AN519" s="23"/>
      <c r="AO519" s="23"/>
    </row>
    <row r="520" spans="37:41" s="19" customFormat="1" ht="11.25" customHeight="1" x14ac:dyDescent="0.3">
      <c r="AK520" s="23"/>
      <c r="AL520" s="23"/>
      <c r="AM520" s="23"/>
      <c r="AN520" s="23"/>
      <c r="AO520" s="23"/>
    </row>
    <row r="521" spans="37:41" s="19" customFormat="1" ht="11.25" customHeight="1" x14ac:dyDescent="0.3">
      <c r="AK521" s="23"/>
      <c r="AL521" s="23"/>
      <c r="AM521" s="23"/>
      <c r="AN521" s="23"/>
      <c r="AO521" s="23"/>
    </row>
    <row r="522" spans="37:41" s="19" customFormat="1" ht="11.25" customHeight="1" x14ac:dyDescent="0.3">
      <c r="AK522" s="23"/>
      <c r="AL522" s="23"/>
      <c r="AM522" s="23"/>
      <c r="AN522" s="23"/>
      <c r="AO522" s="23"/>
    </row>
    <row r="523" spans="37:41" s="19" customFormat="1" ht="11.25" customHeight="1" x14ac:dyDescent="0.3">
      <c r="AK523" s="23"/>
      <c r="AL523" s="23"/>
      <c r="AM523" s="23"/>
      <c r="AN523" s="23"/>
      <c r="AO523" s="23"/>
    </row>
    <row r="524" spans="37:41" s="19" customFormat="1" ht="11.25" customHeight="1" x14ac:dyDescent="0.3">
      <c r="AK524" s="23"/>
      <c r="AL524" s="23"/>
      <c r="AM524" s="23"/>
      <c r="AN524" s="23"/>
      <c r="AO524" s="23"/>
    </row>
    <row r="525" spans="37:41" s="19" customFormat="1" ht="11.25" customHeight="1" x14ac:dyDescent="0.3">
      <c r="AK525" s="23"/>
      <c r="AL525" s="23"/>
      <c r="AM525" s="23"/>
      <c r="AN525" s="23"/>
      <c r="AO525" s="23"/>
    </row>
    <row r="526" spans="37:41" s="19" customFormat="1" ht="11.25" customHeight="1" x14ac:dyDescent="0.3">
      <c r="AK526" s="23"/>
      <c r="AL526" s="23"/>
      <c r="AM526" s="23"/>
      <c r="AN526" s="23"/>
      <c r="AO526" s="23"/>
    </row>
    <row r="527" spans="37:41" s="19" customFormat="1" ht="11.25" customHeight="1" x14ac:dyDescent="0.3">
      <c r="AK527" s="23"/>
      <c r="AL527" s="23"/>
      <c r="AM527" s="23"/>
      <c r="AN527" s="23"/>
      <c r="AO527" s="23"/>
    </row>
    <row r="528" spans="37:41" s="19" customFormat="1" ht="11.25" customHeight="1" x14ac:dyDescent="0.3">
      <c r="AK528" s="23"/>
      <c r="AL528" s="23"/>
      <c r="AM528" s="23"/>
      <c r="AN528" s="23"/>
      <c r="AO528" s="23"/>
    </row>
    <row r="529" spans="37:41" s="19" customFormat="1" ht="11.25" customHeight="1" x14ac:dyDescent="0.3">
      <c r="AK529" s="23"/>
      <c r="AL529" s="23"/>
      <c r="AM529" s="23"/>
      <c r="AN529" s="23"/>
      <c r="AO529" s="23"/>
    </row>
    <row r="530" spans="37:41" s="19" customFormat="1" ht="11.25" customHeight="1" x14ac:dyDescent="0.3">
      <c r="AK530" s="23"/>
      <c r="AL530" s="23"/>
      <c r="AM530" s="23"/>
      <c r="AN530" s="23"/>
      <c r="AO530" s="23"/>
    </row>
    <row r="531" spans="37:41" s="19" customFormat="1" ht="11.25" customHeight="1" x14ac:dyDescent="0.3">
      <c r="AK531" s="23"/>
      <c r="AL531" s="23"/>
      <c r="AM531" s="23"/>
      <c r="AN531" s="23"/>
      <c r="AO531" s="23"/>
    </row>
    <row r="532" spans="37:41" s="19" customFormat="1" ht="11.25" customHeight="1" x14ac:dyDescent="0.3">
      <c r="AK532" s="23"/>
      <c r="AL532" s="23"/>
      <c r="AM532" s="23"/>
      <c r="AN532" s="23"/>
      <c r="AO532" s="23"/>
    </row>
    <row r="533" spans="37:41" s="19" customFormat="1" ht="11.25" customHeight="1" x14ac:dyDescent="0.3">
      <c r="AK533" s="23"/>
      <c r="AL533" s="23"/>
      <c r="AM533" s="23"/>
      <c r="AN533" s="23"/>
      <c r="AO533" s="23"/>
    </row>
    <row r="534" spans="37:41" s="19" customFormat="1" ht="11.25" customHeight="1" x14ac:dyDescent="0.3">
      <c r="AK534" s="23"/>
      <c r="AL534" s="23"/>
      <c r="AM534" s="23"/>
      <c r="AN534" s="23"/>
      <c r="AO534" s="23"/>
    </row>
    <row r="535" spans="37:41" s="19" customFormat="1" ht="11.25" customHeight="1" x14ac:dyDescent="0.3">
      <c r="AK535" s="23"/>
      <c r="AL535" s="23"/>
      <c r="AM535" s="23"/>
      <c r="AN535" s="23"/>
      <c r="AO535" s="23"/>
    </row>
    <row r="536" spans="37:41" s="19" customFormat="1" ht="11.25" customHeight="1" x14ac:dyDescent="0.3">
      <c r="AK536" s="23"/>
      <c r="AL536" s="23"/>
      <c r="AM536" s="23"/>
      <c r="AN536" s="23"/>
      <c r="AO536" s="23"/>
    </row>
    <row r="537" spans="37:41" s="19" customFormat="1" ht="11.25" customHeight="1" x14ac:dyDescent="0.3">
      <c r="AK537" s="23"/>
      <c r="AL537" s="23"/>
      <c r="AM537" s="23"/>
      <c r="AN537" s="23"/>
      <c r="AO537" s="23"/>
    </row>
    <row r="538" spans="37:41" s="19" customFormat="1" ht="11.25" customHeight="1" x14ac:dyDescent="0.3">
      <c r="AK538" s="23"/>
      <c r="AL538" s="23"/>
      <c r="AM538" s="23"/>
      <c r="AN538" s="23"/>
      <c r="AO538" s="23"/>
    </row>
    <row r="539" spans="37:41" s="19" customFormat="1" ht="11.25" customHeight="1" x14ac:dyDescent="0.3">
      <c r="AK539" s="23"/>
      <c r="AL539" s="23"/>
      <c r="AM539" s="23"/>
      <c r="AN539" s="23"/>
      <c r="AO539" s="23"/>
    </row>
    <row r="540" spans="37:41" s="19" customFormat="1" ht="11.25" customHeight="1" x14ac:dyDescent="0.3">
      <c r="AK540" s="23"/>
      <c r="AL540" s="23"/>
      <c r="AM540" s="23"/>
      <c r="AN540" s="23"/>
      <c r="AO540" s="23"/>
    </row>
    <row r="541" spans="37:41" s="19" customFormat="1" ht="11.25" customHeight="1" x14ac:dyDescent="0.3">
      <c r="AK541" s="23"/>
      <c r="AL541" s="23"/>
      <c r="AM541" s="23"/>
      <c r="AN541" s="23"/>
      <c r="AO541" s="23"/>
    </row>
    <row r="542" spans="37:41" s="19" customFormat="1" ht="11.25" customHeight="1" x14ac:dyDescent="0.3">
      <c r="AK542" s="23"/>
      <c r="AL542" s="23"/>
      <c r="AM542" s="23"/>
      <c r="AN542" s="23"/>
      <c r="AO542" s="23"/>
    </row>
    <row r="543" spans="37:41" s="19" customFormat="1" ht="11.25" customHeight="1" x14ac:dyDescent="0.3">
      <c r="AK543" s="23"/>
      <c r="AL543" s="23"/>
      <c r="AM543" s="23"/>
      <c r="AN543" s="23"/>
      <c r="AO543" s="23"/>
    </row>
    <row r="544" spans="37:41" s="19" customFormat="1" ht="11.25" customHeight="1" x14ac:dyDescent="0.3">
      <c r="AK544" s="23"/>
      <c r="AL544" s="23"/>
      <c r="AM544" s="23"/>
      <c r="AN544" s="23"/>
      <c r="AO544" s="23"/>
    </row>
    <row r="545" spans="1:52" s="19" customFormat="1" ht="11.25" customHeight="1" x14ac:dyDescent="0.3">
      <c r="AK545" s="23"/>
      <c r="AL545" s="23"/>
      <c r="AM545" s="23"/>
      <c r="AN545" s="23"/>
      <c r="AO545" s="23"/>
    </row>
    <row r="546" spans="1:52" s="19" customFormat="1" ht="11.25" customHeight="1" x14ac:dyDescent="0.3">
      <c r="AK546" s="23"/>
      <c r="AL546" s="23"/>
      <c r="AM546" s="23"/>
      <c r="AN546" s="23"/>
      <c r="AO546" s="23"/>
    </row>
    <row r="547" spans="1:52" s="19" customFormat="1" ht="11.25" customHeight="1" x14ac:dyDescent="0.3">
      <c r="AK547" s="23"/>
      <c r="AL547" s="23"/>
      <c r="AM547" s="23"/>
      <c r="AN547" s="23"/>
      <c r="AO547" s="23"/>
    </row>
    <row r="548" spans="1:52" s="19" customFormat="1" ht="11.25" customHeight="1" x14ac:dyDescent="0.3">
      <c r="AK548" s="23"/>
      <c r="AL548" s="23"/>
      <c r="AM548" s="23"/>
      <c r="AN548" s="23"/>
      <c r="AO548" s="23"/>
    </row>
    <row r="549" spans="1:52" s="19" customFormat="1" ht="11.25" customHeight="1" x14ac:dyDescent="0.3">
      <c r="AK549" s="23"/>
      <c r="AL549" s="23"/>
      <c r="AM549" s="23"/>
      <c r="AN549" s="23"/>
      <c r="AO549" s="23"/>
    </row>
    <row r="550" spans="1:52" s="19" customFormat="1" ht="11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6"/>
      <c r="AL550" s="16"/>
      <c r="AM550" s="16"/>
      <c r="AN550" s="16"/>
      <c r="AO550" s="16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spans="1:52" ht="11.25" customHeight="1" x14ac:dyDescent="0.3"/>
    <row r="552" spans="1:52" ht="11.25" customHeight="1" x14ac:dyDescent="0.3"/>
    <row r="553" spans="1:52" ht="11.25" customHeight="1" x14ac:dyDescent="0.3"/>
    <row r="554" spans="1:52" ht="11.25" customHeight="1" x14ac:dyDescent="0.3"/>
    <row r="555" spans="1:52" ht="11.25" customHeight="1" x14ac:dyDescent="0.3"/>
    <row r="556" spans="1:52" ht="11.25" customHeight="1" x14ac:dyDescent="0.3"/>
    <row r="557" spans="1:52" ht="11.25" customHeight="1" x14ac:dyDescent="0.3"/>
    <row r="558" spans="1:52" ht="11.25" customHeight="1" x14ac:dyDescent="0.3"/>
    <row r="559" spans="1:52" ht="11.25" customHeight="1" x14ac:dyDescent="0.3"/>
    <row r="560" spans="1:52" ht="11.25" customHeight="1" x14ac:dyDescent="0.3"/>
    <row r="561" ht="11.25" customHeight="1" x14ac:dyDescent="0.3"/>
    <row r="562" ht="11.25" customHeight="1" x14ac:dyDescent="0.3"/>
    <row r="563" ht="11.25" customHeight="1" x14ac:dyDescent="0.3"/>
    <row r="564" ht="11.25" customHeight="1" x14ac:dyDescent="0.3"/>
    <row r="565" ht="11.25" customHeight="1" x14ac:dyDescent="0.3"/>
    <row r="566" ht="11.25" customHeight="1" x14ac:dyDescent="0.3"/>
    <row r="567" ht="11.25" customHeight="1" x14ac:dyDescent="0.3"/>
    <row r="568" ht="11.25" customHeight="1" x14ac:dyDescent="0.3"/>
    <row r="569" ht="11.25" customHeight="1" x14ac:dyDescent="0.3"/>
    <row r="570" ht="11.25" customHeight="1" x14ac:dyDescent="0.3"/>
    <row r="571" ht="11.25" customHeight="1" x14ac:dyDescent="0.3"/>
    <row r="572" ht="11.25" customHeight="1" x14ac:dyDescent="0.3"/>
    <row r="573" ht="11.25" customHeight="1" x14ac:dyDescent="0.3"/>
    <row r="574" ht="11.25" customHeight="1" x14ac:dyDescent="0.3"/>
    <row r="575" ht="11.25" customHeight="1" x14ac:dyDescent="0.3"/>
    <row r="576" ht="11.25" customHeight="1" x14ac:dyDescent="0.3"/>
    <row r="577" ht="11.25" customHeight="1" x14ac:dyDescent="0.3"/>
    <row r="578" ht="11.25" customHeight="1" x14ac:dyDescent="0.3"/>
    <row r="579" ht="11.25" customHeight="1" x14ac:dyDescent="0.3"/>
    <row r="580" ht="11.25" customHeight="1" x14ac:dyDescent="0.3"/>
    <row r="581" ht="11.25" customHeight="1" x14ac:dyDescent="0.3"/>
    <row r="582" ht="11.25" customHeight="1" x14ac:dyDescent="0.3"/>
    <row r="583" ht="11.25" customHeight="1" x14ac:dyDescent="0.3"/>
    <row r="584" ht="11.25" customHeight="1" x14ac:dyDescent="0.3"/>
    <row r="585" ht="11.25" customHeight="1" x14ac:dyDescent="0.3"/>
    <row r="586" ht="11.25" customHeight="1" x14ac:dyDescent="0.3"/>
    <row r="587" ht="11.25" customHeight="1" x14ac:dyDescent="0.3"/>
    <row r="588" ht="11.25" customHeight="1" x14ac:dyDescent="0.3"/>
    <row r="589" ht="11.25" customHeight="1" x14ac:dyDescent="0.3"/>
    <row r="590" ht="11.25" customHeight="1" x14ac:dyDescent="0.3"/>
    <row r="591" ht="11.25" customHeight="1" x14ac:dyDescent="0.3"/>
    <row r="592" ht="11.25" customHeight="1" x14ac:dyDescent="0.3"/>
    <row r="593" ht="11.25" customHeight="1" x14ac:dyDescent="0.3"/>
    <row r="594" ht="11.25" customHeight="1" x14ac:dyDescent="0.3"/>
    <row r="595" ht="11.25" customHeight="1" x14ac:dyDescent="0.3"/>
    <row r="596" ht="11.25" customHeight="1" x14ac:dyDescent="0.3"/>
    <row r="597" ht="11.25" customHeight="1" x14ac:dyDescent="0.3"/>
    <row r="598" ht="11.25" customHeight="1" x14ac:dyDescent="0.3"/>
    <row r="599" ht="11.25" customHeight="1" x14ac:dyDescent="0.3"/>
    <row r="600" ht="11.25" customHeight="1" x14ac:dyDescent="0.3"/>
    <row r="601" ht="11.25" customHeight="1" x14ac:dyDescent="0.3"/>
    <row r="602" ht="11.25" customHeight="1" x14ac:dyDescent="0.3"/>
    <row r="603" ht="11.25" customHeight="1" x14ac:dyDescent="0.3"/>
    <row r="604" ht="11.25" customHeight="1" x14ac:dyDescent="0.3"/>
    <row r="605" ht="11.25" customHeight="1" x14ac:dyDescent="0.3"/>
    <row r="606" ht="11.25" customHeight="1" x14ac:dyDescent="0.3"/>
    <row r="607" ht="11.25" customHeight="1" x14ac:dyDescent="0.3"/>
    <row r="608" ht="11.25" customHeight="1" x14ac:dyDescent="0.3"/>
    <row r="609" ht="11.25" customHeight="1" x14ac:dyDescent="0.3"/>
    <row r="610" ht="11.25" customHeight="1" x14ac:dyDescent="0.3"/>
    <row r="611" ht="11.25" customHeight="1" x14ac:dyDescent="0.3"/>
    <row r="612" ht="11.25" customHeight="1" x14ac:dyDescent="0.3"/>
    <row r="613" ht="11.25" customHeight="1" x14ac:dyDescent="0.3"/>
    <row r="614" ht="11.25" customHeight="1" x14ac:dyDescent="0.3"/>
    <row r="615" ht="11.25" customHeight="1" x14ac:dyDescent="0.3"/>
    <row r="616" ht="11.25" customHeight="1" x14ac:dyDescent="0.3"/>
    <row r="617" ht="11.25" customHeight="1" x14ac:dyDescent="0.3"/>
    <row r="618" ht="11.25" customHeight="1" x14ac:dyDescent="0.3"/>
    <row r="619" ht="11.25" customHeight="1" x14ac:dyDescent="0.3"/>
    <row r="620" ht="11.25" customHeight="1" x14ac:dyDescent="0.3"/>
    <row r="621" ht="11.25" customHeight="1" x14ac:dyDescent="0.3"/>
    <row r="622" ht="11.25" customHeight="1" x14ac:dyDescent="0.3"/>
    <row r="623" ht="11.25" customHeight="1" x14ac:dyDescent="0.3"/>
    <row r="624" ht="11.25" customHeight="1" x14ac:dyDescent="0.3"/>
    <row r="625" ht="11.25" customHeight="1" x14ac:dyDescent="0.3"/>
    <row r="626" ht="11.25" customHeight="1" x14ac:dyDescent="0.3"/>
    <row r="627" ht="11.25" customHeight="1" x14ac:dyDescent="0.3"/>
    <row r="628" ht="11.25" customHeight="1" x14ac:dyDescent="0.3"/>
    <row r="629" ht="11.25" customHeight="1" x14ac:dyDescent="0.3"/>
    <row r="630" ht="11.25" customHeight="1" x14ac:dyDescent="0.3"/>
    <row r="631" ht="11.25" customHeight="1" x14ac:dyDescent="0.3"/>
    <row r="632" ht="11.25" customHeight="1" x14ac:dyDescent="0.3"/>
    <row r="633" ht="11.25" customHeight="1" x14ac:dyDescent="0.3"/>
    <row r="634" ht="11.25" customHeight="1" x14ac:dyDescent="0.3"/>
    <row r="635" ht="11.25" customHeight="1" x14ac:dyDescent="0.3"/>
    <row r="636" ht="11.25" customHeight="1" x14ac:dyDescent="0.3"/>
    <row r="637" ht="11.25" customHeight="1" x14ac:dyDescent="0.3"/>
    <row r="638" ht="11.25" customHeight="1" x14ac:dyDescent="0.3"/>
    <row r="639" ht="11.25" customHeight="1" x14ac:dyDescent="0.3"/>
    <row r="640" ht="11.25" customHeight="1" x14ac:dyDescent="0.3"/>
    <row r="641" ht="11.25" customHeight="1" x14ac:dyDescent="0.3"/>
    <row r="642" ht="11.25" customHeight="1" x14ac:dyDescent="0.3"/>
    <row r="643" ht="11.25" customHeight="1" x14ac:dyDescent="0.3"/>
    <row r="644" ht="11.25" customHeight="1" x14ac:dyDescent="0.3"/>
    <row r="645" ht="11.25" customHeight="1" x14ac:dyDescent="0.3"/>
    <row r="646" ht="11.25" customHeight="1" x14ac:dyDescent="0.3"/>
    <row r="647" ht="11.25" customHeight="1" x14ac:dyDescent="0.3"/>
    <row r="648" ht="11.25" customHeight="1" x14ac:dyDescent="0.3"/>
    <row r="649" ht="11.25" customHeight="1" x14ac:dyDescent="0.3"/>
    <row r="650" ht="11.25" customHeight="1" x14ac:dyDescent="0.3"/>
    <row r="651" ht="11.25" customHeight="1" x14ac:dyDescent="0.3"/>
    <row r="652" ht="11.25" customHeight="1" x14ac:dyDescent="0.3"/>
    <row r="653" ht="11.25" customHeight="1" x14ac:dyDescent="0.3"/>
    <row r="654" ht="11.25" customHeight="1" x14ac:dyDescent="0.3"/>
    <row r="655" ht="11.25" customHeight="1" x14ac:dyDescent="0.3"/>
    <row r="656" ht="11.25" customHeight="1" x14ac:dyDescent="0.3"/>
    <row r="657" ht="11.25" customHeight="1" x14ac:dyDescent="0.3"/>
    <row r="658" ht="11.25" customHeight="1" x14ac:dyDescent="0.3"/>
    <row r="659" ht="11.25" customHeight="1" x14ac:dyDescent="0.3"/>
    <row r="660" ht="11.25" customHeight="1" x14ac:dyDescent="0.3"/>
    <row r="661" ht="11.25" customHeight="1" x14ac:dyDescent="0.3"/>
    <row r="662" ht="11.25" customHeight="1" x14ac:dyDescent="0.3"/>
    <row r="663" ht="11.25" customHeight="1" x14ac:dyDescent="0.3"/>
    <row r="664" ht="11.25" customHeight="1" x14ac:dyDescent="0.3"/>
    <row r="665" ht="11.25" customHeight="1" x14ac:dyDescent="0.3"/>
    <row r="666" ht="11.25" customHeight="1" x14ac:dyDescent="0.3"/>
    <row r="667" ht="11.25" customHeight="1" x14ac:dyDescent="0.3"/>
    <row r="668" ht="11.25" customHeight="1" x14ac:dyDescent="0.3"/>
    <row r="669" ht="11.25" customHeight="1" x14ac:dyDescent="0.3"/>
    <row r="670" ht="11.25" customHeight="1" x14ac:dyDescent="0.3"/>
    <row r="671" ht="11.25" customHeight="1" x14ac:dyDescent="0.3"/>
    <row r="672" ht="11.25" customHeight="1" x14ac:dyDescent="0.3"/>
    <row r="673" ht="11.25" customHeight="1" x14ac:dyDescent="0.3"/>
    <row r="674" ht="11.25" customHeight="1" x14ac:dyDescent="0.3"/>
    <row r="675" ht="11.25" customHeight="1" x14ac:dyDescent="0.3"/>
    <row r="676" ht="11.25" customHeight="1" x14ac:dyDescent="0.3"/>
    <row r="677" ht="11.25" customHeight="1" x14ac:dyDescent="0.3"/>
    <row r="678" ht="11.25" customHeight="1" x14ac:dyDescent="0.3"/>
    <row r="679" ht="11.25" customHeight="1" x14ac:dyDescent="0.3"/>
    <row r="680" ht="11.25" customHeight="1" x14ac:dyDescent="0.3"/>
    <row r="681" ht="11.25" customHeight="1" x14ac:dyDescent="0.3"/>
    <row r="682" ht="11.25" customHeight="1" x14ac:dyDescent="0.3"/>
    <row r="683" ht="11.25" customHeight="1" x14ac:dyDescent="0.3"/>
    <row r="684" ht="11.25" customHeight="1" x14ac:dyDescent="0.3"/>
    <row r="685" ht="11.25" customHeight="1" x14ac:dyDescent="0.3"/>
    <row r="686" ht="11.25" customHeight="1" x14ac:dyDescent="0.3"/>
    <row r="687" ht="11.25" customHeight="1" x14ac:dyDescent="0.3"/>
    <row r="688" ht="11.25" customHeight="1" x14ac:dyDescent="0.3"/>
    <row r="689" ht="11.25" customHeight="1" x14ac:dyDescent="0.3"/>
    <row r="690" ht="11.25" customHeight="1" x14ac:dyDescent="0.3"/>
    <row r="691" ht="11.25" customHeight="1" x14ac:dyDescent="0.3"/>
    <row r="692" ht="11.25" customHeight="1" x14ac:dyDescent="0.3"/>
    <row r="693" ht="11.25" customHeight="1" x14ac:dyDescent="0.3"/>
    <row r="694" ht="11.25" customHeight="1" x14ac:dyDescent="0.3"/>
    <row r="695" ht="11.25" customHeight="1" x14ac:dyDescent="0.3"/>
    <row r="696" ht="11.25" customHeight="1" x14ac:dyDescent="0.3"/>
    <row r="697" ht="11.25" customHeight="1" x14ac:dyDescent="0.3"/>
    <row r="698" ht="11.25" customHeight="1" x14ac:dyDescent="0.3"/>
    <row r="699" ht="11.25" customHeight="1" x14ac:dyDescent="0.3"/>
    <row r="700" ht="11.25" customHeight="1" x14ac:dyDescent="0.3"/>
    <row r="701" ht="11.25" customHeight="1" x14ac:dyDescent="0.3"/>
    <row r="702" ht="11.25" customHeight="1" x14ac:dyDescent="0.3"/>
    <row r="703" ht="11.25" customHeight="1" x14ac:dyDescent="0.3"/>
    <row r="704" ht="11.25" customHeight="1" x14ac:dyDescent="0.3"/>
    <row r="705" ht="11.25" customHeight="1" x14ac:dyDescent="0.3"/>
    <row r="706" ht="11.25" customHeight="1" x14ac:dyDescent="0.3"/>
    <row r="707" ht="11.25" customHeight="1" x14ac:dyDescent="0.3"/>
    <row r="708" ht="11.25" customHeight="1" x14ac:dyDescent="0.3"/>
    <row r="709" ht="11.25" customHeight="1" x14ac:dyDescent="0.3"/>
    <row r="710" ht="11.25" customHeight="1" x14ac:dyDescent="0.3"/>
    <row r="711" ht="11.25" customHeight="1" x14ac:dyDescent="0.3"/>
    <row r="712" ht="11.25" customHeight="1" x14ac:dyDescent="0.3"/>
    <row r="713" ht="11.25" customHeight="1" x14ac:dyDescent="0.3"/>
    <row r="714" ht="11.25" customHeight="1" x14ac:dyDescent="0.3"/>
    <row r="715" ht="11.25" customHeight="1" x14ac:dyDescent="0.3"/>
    <row r="716" ht="11.25" customHeight="1" x14ac:dyDescent="0.3"/>
    <row r="717" ht="11.25" customHeight="1" x14ac:dyDescent="0.3"/>
    <row r="718" ht="11.25" customHeight="1" x14ac:dyDescent="0.3"/>
    <row r="719" ht="11.25" customHeight="1" x14ac:dyDescent="0.3"/>
    <row r="720" ht="11.25" customHeight="1" x14ac:dyDescent="0.3"/>
    <row r="721" ht="11.25" customHeight="1" x14ac:dyDescent="0.3"/>
    <row r="722" ht="11.25" customHeight="1" x14ac:dyDescent="0.3"/>
    <row r="723" ht="11.25" customHeight="1" x14ac:dyDescent="0.3"/>
    <row r="724" ht="11.25" customHeight="1" x14ac:dyDescent="0.3"/>
    <row r="725" ht="11.25" customHeight="1" x14ac:dyDescent="0.3"/>
    <row r="726" ht="11.25" customHeight="1" x14ac:dyDescent="0.3"/>
    <row r="727" ht="11.25" customHeight="1" x14ac:dyDescent="0.3"/>
    <row r="728" ht="11.25" customHeight="1" x14ac:dyDescent="0.3"/>
    <row r="729" ht="11.25" customHeight="1" x14ac:dyDescent="0.3"/>
    <row r="730" ht="11.25" customHeight="1" x14ac:dyDescent="0.3"/>
    <row r="731" ht="11.25" customHeight="1" x14ac:dyDescent="0.3"/>
    <row r="732" ht="11.25" customHeight="1" x14ac:dyDescent="0.3"/>
    <row r="733" ht="11.25" customHeight="1" x14ac:dyDescent="0.3"/>
    <row r="734" ht="11.25" customHeight="1" x14ac:dyDescent="0.3"/>
    <row r="735" ht="11.25" customHeight="1" x14ac:dyDescent="0.3"/>
    <row r="736" ht="11.25" customHeight="1" x14ac:dyDescent="0.3"/>
    <row r="737" ht="11.25" customHeight="1" x14ac:dyDescent="0.3"/>
    <row r="738" ht="11.25" customHeight="1" x14ac:dyDescent="0.3"/>
    <row r="739" ht="11.25" customHeight="1" x14ac:dyDescent="0.3"/>
    <row r="740" ht="11.25" customHeight="1" x14ac:dyDescent="0.3"/>
    <row r="741" ht="11.25" customHeight="1" x14ac:dyDescent="0.3"/>
    <row r="742" ht="11.25" customHeight="1" x14ac:dyDescent="0.3"/>
    <row r="743" ht="11.25" customHeight="1" x14ac:dyDescent="0.3"/>
    <row r="744" ht="11.25" customHeight="1" x14ac:dyDescent="0.3"/>
    <row r="745" ht="11.25" customHeight="1" x14ac:dyDescent="0.3"/>
    <row r="746" ht="11.25" customHeight="1" x14ac:dyDescent="0.3"/>
    <row r="747" ht="11.25" customHeight="1" x14ac:dyDescent="0.3"/>
    <row r="748" ht="11.25" customHeight="1" x14ac:dyDescent="0.3"/>
    <row r="749" ht="11.25" customHeight="1" x14ac:dyDescent="0.3"/>
    <row r="750" ht="11.25" customHeight="1" x14ac:dyDescent="0.3"/>
    <row r="751" ht="11.25" customHeight="1" x14ac:dyDescent="0.3"/>
    <row r="752" ht="11.25" customHeight="1" x14ac:dyDescent="0.3"/>
    <row r="753" ht="11.25" customHeight="1" x14ac:dyDescent="0.3"/>
    <row r="754" ht="11.25" customHeight="1" x14ac:dyDescent="0.3"/>
    <row r="755" ht="11.25" customHeight="1" x14ac:dyDescent="0.3"/>
    <row r="756" ht="11.25" customHeight="1" x14ac:dyDescent="0.3"/>
    <row r="757" ht="11.25" customHeight="1" x14ac:dyDescent="0.3"/>
    <row r="758" ht="11.25" customHeight="1" x14ac:dyDescent="0.3"/>
    <row r="759" ht="11.25" customHeight="1" x14ac:dyDescent="0.3"/>
    <row r="760" ht="11.25" customHeight="1" x14ac:dyDescent="0.3"/>
    <row r="761" ht="11.25" customHeight="1" x14ac:dyDescent="0.3"/>
    <row r="762" ht="11.25" customHeight="1" x14ac:dyDescent="0.3"/>
    <row r="763" ht="11.25" customHeight="1" x14ac:dyDescent="0.3"/>
    <row r="764" ht="11.25" customHeight="1" x14ac:dyDescent="0.3"/>
    <row r="765" ht="11.25" customHeight="1" x14ac:dyDescent="0.3"/>
    <row r="766" ht="11.25" customHeight="1" x14ac:dyDescent="0.3"/>
    <row r="767" ht="11.25" customHeight="1" x14ac:dyDescent="0.3"/>
    <row r="768" ht="11.25" customHeight="1" x14ac:dyDescent="0.3"/>
    <row r="769" ht="11.25" customHeight="1" x14ac:dyDescent="0.3"/>
    <row r="770" ht="11.25" customHeight="1" x14ac:dyDescent="0.3"/>
    <row r="771" ht="11.25" customHeight="1" x14ac:dyDescent="0.3"/>
    <row r="772" ht="11.25" customHeight="1" x14ac:dyDescent="0.3"/>
    <row r="773" ht="11.25" customHeight="1" x14ac:dyDescent="0.3"/>
    <row r="774" ht="11.25" customHeight="1" x14ac:dyDescent="0.3"/>
    <row r="775" ht="11.25" customHeight="1" x14ac:dyDescent="0.3"/>
    <row r="776" ht="11.25" customHeight="1" x14ac:dyDescent="0.3"/>
    <row r="777" ht="11.25" customHeight="1" x14ac:dyDescent="0.3"/>
    <row r="778" ht="11.25" customHeight="1" x14ac:dyDescent="0.3"/>
    <row r="779" ht="11.25" customHeight="1" x14ac:dyDescent="0.3"/>
    <row r="780" ht="11.25" customHeight="1" x14ac:dyDescent="0.3"/>
    <row r="781" ht="11.25" customHeight="1" x14ac:dyDescent="0.3"/>
    <row r="782" ht="11.25" customHeight="1" x14ac:dyDescent="0.3"/>
    <row r="783" ht="11.25" customHeight="1" x14ac:dyDescent="0.3"/>
    <row r="784" ht="11.25" customHeight="1" x14ac:dyDescent="0.3"/>
    <row r="785" ht="11.25" customHeight="1" x14ac:dyDescent="0.3"/>
    <row r="786" ht="11.25" customHeight="1" x14ac:dyDescent="0.3"/>
    <row r="787" ht="11.25" customHeight="1" x14ac:dyDescent="0.3"/>
    <row r="788" ht="11.25" customHeight="1" x14ac:dyDescent="0.3"/>
    <row r="789" ht="11.25" customHeight="1" x14ac:dyDescent="0.3"/>
    <row r="790" ht="11.25" customHeight="1" x14ac:dyDescent="0.3"/>
    <row r="791" ht="11.25" customHeight="1" x14ac:dyDescent="0.3"/>
    <row r="792" ht="11.25" customHeight="1" x14ac:dyDescent="0.3"/>
    <row r="793" ht="11.25" customHeight="1" x14ac:dyDescent="0.3"/>
    <row r="794" ht="11.25" customHeight="1" x14ac:dyDescent="0.3"/>
    <row r="795" ht="11.25" customHeight="1" x14ac:dyDescent="0.3"/>
    <row r="796" ht="11.25" customHeight="1" x14ac:dyDescent="0.3"/>
    <row r="797" ht="11.25" customHeight="1" x14ac:dyDescent="0.3"/>
    <row r="798" ht="11.25" customHeight="1" x14ac:dyDescent="0.3"/>
    <row r="799" ht="11.25" customHeight="1" x14ac:dyDescent="0.3"/>
    <row r="800" ht="11.25" customHeight="1" x14ac:dyDescent="0.3"/>
    <row r="801" ht="11.25" customHeight="1" x14ac:dyDescent="0.3"/>
    <row r="802" ht="11.25" customHeight="1" x14ac:dyDescent="0.3"/>
    <row r="803" ht="11.25" customHeight="1" x14ac:dyDescent="0.3"/>
    <row r="804" ht="11.25" customHeight="1" x14ac:dyDescent="0.3"/>
    <row r="805" ht="11.25" customHeight="1" x14ac:dyDescent="0.3"/>
    <row r="806" ht="11.25" customHeight="1" x14ac:dyDescent="0.3"/>
    <row r="807" ht="11.25" customHeight="1" x14ac:dyDescent="0.3"/>
    <row r="808" ht="11.25" customHeight="1" x14ac:dyDescent="0.3"/>
    <row r="809" ht="11.25" customHeight="1" x14ac:dyDescent="0.3"/>
    <row r="810" ht="11.25" customHeight="1" x14ac:dyDescent="0.3"/>
    <row r="811" ht="11.25" customHeight="1" x14ac:dyDescent="0.3"/>
    <row r="812" ht="11.25" customHeight="1" x14ac:dyDescent="0.3"/>
    <row r="813" ht="11.25" customHeight="1" x14ac:dyDescent="0.3"/>
    <row r="814" ht="11.25" customHeight="1" x14ac:dyDescent="0.3"/>
    <row r="815" ht="11.25" customHeight="1" x14ac:dyDescent="0.3"/>
    <row r="816" ht="11.25" customHeight="1" x14ac:dyDescent="0.3"/>
    <row r="817" ht="11.25" customHeight="1" x14ac:dyDescent="0.3"/>
    <row r="818" ht="11.25" customHeight="1" x14ac:dyDescent="0.3"/>
    <row r="819" ht="11.25" customHeight="1" x14ac:dyDescent="0.3"/>
    <row r="820" ht="11.25" customHeight="1" x14ac:dyDescent="0.3"/>
    <row r="821" ht="11.25" customHeight="1" x14ac:dyDescent="0.3"/>
    <row r="822" ht="11.25" customHeight="1" x14ac:dyDescent="0.3"/>
    <row r="823" ht="11.25" customHeight="1" x14ac:dyDescent="0.3"/>
    <row r="824" ht="11.25" customHeight="1" x14ac:dyDescent="0.3"/>
    <row r="825" ht="11.25" customHeight="1" x14ac:dyDescent="0.3"/>
    <row r="826" ht="11.25" customHeight="1" x14ac:dyDescent="0.3"/>
    <row r="827" ht="11.25" customHeight="1" x14ac:dyDescent="0.3"/>
    <row r="828" ht="11.25" customHeight="1" x14ac:dyDescent="0.3"/>
    <row r="829" ht="11.25" customHeight="1" x14ac:dyDescent="0.3"/>
    <row r="830" ht="11.25" customHeight="1" x14ac:dyDescent="0.3"/>
    <row r="831" ht="11.25" customHeight="1" x14ac:dyDescent="0.3"/>
    <row r="832" ht="11.25" customHeight="1" x14ac:dyDescent="0.3"/>
    <row r="833" ht="11.25" customHeight="1" x14ac:dyDescent="0.3"/>
    <row r="834" ht="11.25" customHeight="1" x14ac:dyDescent="0.3"/>
    <row r="835" ht="11.25" customHeight="1" x14ac:dyDescent="0.3"/>
    <row r="836" ht="11.25" customHeight="1" x14ac:dyDescent="0.3"/>
    <row r="837" ht="11.25" customHeight="1" x14ac:dyDescent="0.3"/>
    <row r="838" ht="11.25" customHeight="1" x14ac:dyDescent="0.3"/>
    <row r="839" ht="11.25" customHeight="1" x14ac:dyDescent="0.3"/>
    <row r="840" ht="11.25" customHeight="1" x14ac:dyDescent="0.3"/>
    <row r="841" ht="11.25" customHeight="1" x14ac:dyDescent="0.3"/>
    <row r="842" ht="11.25" customHeight="1" x14ac:dyDescent="0.3"/>
    <row r="843" ht="11.25" customHeight="1" x14ac:dyDescent="0.3"/>
    <row r="844" ht="11.25" customHeight="1" x14ac:dyDescent="0.3"/>
    <row r="845" ht="11.25" customHeight="1" x14ac:dyDescent="0.3"/>
    <row r="846" ht="11.25" customHeight="1" x14ac:dyDescent="0.3"/>
    <row r="847" ht="11.25" customHeight="1" x14ac:dyDescent="0.3"/>
    <row r="848" ht="11.25" customHeight="1" x14ac:dyDescent="0.3"/>
    <row r="849" ht="11.25" customHeight="1" x14ac:dyDescent="0.3"/>
    <row r="850" ht="11.25" customHeight="1" x14ac:dyDescent="0.3"/>
    <row r="851" ht="11.25" customHeight="1" x14ac:dyDescent="0.3"/>
    <row r="852" ht="11.25" customHeight="1" x14ac:dyDescent="0.3"/>
    <row r="853" ht="11.25" customHeight="1" x14ac:dyDescent="0.3"/>
    <row r="854" ht="11.25" customHeight="1" x14ac:dyDescent="0.3"/>
    <row r="855" ht="11.25" customHeight="1" x14ac:dyDescent="0.3"/>
    <row r="856" ht="11.25" customHeight="1" x14ac:dyDescent="0.3"/>
    <row r="857" ht="11.25" customHeight="1" x14ac:dyDescent="0.3"/>
    <row r="858" ht="11.25" customHeight="1" x14ac:dyDescent="0.3"/>
    <row r="859" ht="11.25" customHeight="1" x14ac:dyDescent="0.3"/>
    <row r="860" ht="11.25" customHeight="1" x14ac:dyDescent="0.3"/>
    <row r="861" ht="11.25" customHeight="1" x14ac:dyDescent="0.3"/>
    <row r="862" ht="11.25" customHeight="1" x14ac:dyDescent="0.3"/>
    <row r="863" ht="11.25" customHeight="1" x14ac:dyDescent="0.3"/>
    <row r="864" ht="11.25" customHeight="1" x14ac:dyDescent="0.3"/>
    <row r="865" ht="11.25" customHeight="1" x14ac:dyDescent="0.3"/>
    <row r="866" ht="11.25" customHeight="1" x14ac:dyDescent="0.3"/>
    <row r="867" ht="11.25" customHeight="1" x14ac:dyDescent="0.3"/>
    <row r="868" ht="11.25" customHeight="1" x14ac:dyDescent="0.3"/>
    <row r="869" ht="11.25" customHeight="1" x14ac:dyDescent="0.3"/>
    <row r="870" ht="11.25" customHeight="1" x14ac:dyDescent="0.3"/>
    <row r="871" ht="11.25" customHeight="1" x14ac:dyDescent="0.3"/>
    <row r="872" ht="11.25" customHeight="1" x14ac:dyDescent="0.3"/>
    <row r="873" ht="11.25" customHeight="1" x14ac:dyDescent="0.3"/>
    <row r="874" ht="11.25" customHeight="1" x14ac:dyDescent="0.3"/>
    <row r="875" ht="11.25" customHeight="1" x14ac:dyDescent="0.3"/>
    <row r="876" ht="11.25" customHeight="1" x14ac:dyDescent="0.3"/>
    <row r="877" ht="11.25" customHeight="1" x14ac:dyDescent="0.3"/>
    <row r="878" ht="11.25" customHeight="1" x14ac:dyDescent="0.3"/>
    <row r="879" ht="11.25" customHeight="1" x14ac:dyDescent="0.3"/>
    <row r="880" ht="11.25" customHeight="1" x14ac:dyDescent="0.3"/>
    <row r="881" ht="11.25" customHeight="1" x14ac:dyDescent="0.3"/>
    <row r="882" ht="11.25" customHeight="1" x14ac:dyDescent="0.3"/>
    <row r="883" ht="11.25" customHeight="1" x14ac:dyDescent="0.3"/>
    <row r="884" ht="11.25" customHeight="1" x14ac:dyDescent="0.3"/>
    <row r="885" ht="11.25" customHeight="1" x14ac:dyDescent="0.3"/>
    <row r="886" ht="11.25" customHeight="1" x14ac:dyDescent="0.3"/>
    <row r="887" ht="11.25" customHeight="1" x14ac:dyDescent="0.3"/>
    <row r="888" ht="11.25" customHeight="1" x14ac:dyDescent="0.3"/>
    <row r="889" ht="11.25" customHeight="1" x14ac:dyDescent="0.3"/>
    <row r="890" ht="11.25" customHeight="1" x14ac:dyDescent="0.3"/>
    <row r="891" ht="11.25" customHeight="1" x14ac:dyDescent="0.3"/>
    <row r="892" ht="11.25" customHeight="1" x14ac:dyDescent="0.3"/>
    <row r="893" ht="11.25" customHeight="1" x14ac:dyDescent="0.3"/>
    <row r="894" ht="11.25" customHeight="1" x14ac:dyDescent="0.3"/>
    <row r="895" ht="11.25" customHeight="1" x14ac:dyDescent="0.3"/>
    <row r="896" ht="11.25" customHeight="1" x14ac:dyDescent="0.3"/>
    <row r="897" ht="11.25" customHeight="1" x14ac:dyDescent="0.3"/>
    <row r="898" ht="11.25" customHeight="1" x14ac:dyDescent="0.3"/>
    <row r="899" ht="11.25" customHeight="1" x14ac:dyDescent="0.3"/>
    <row r="900" ht="11.25" customHeight="1" x14ac:dyDescent="0.3"/>
    <row r="901" ht="11.25" customHeight="1" x14ac:dyDescent="0.3"/>
    <row r="902" ht="11.25" customHeight="1" x14ac:dyDescent="0.3"/>
    <row r="903" ht="11.25" customHeight="1" x14ac:dyDescent="0.3"/>
    <row r="904" ht="11.25" customHeight="1" x14ac:dyDescent="0.3"/>
    <row r="905" ht="11.25" customHeight="1" x14ac:dyDescent="0.3"/>
    <row r="906" ht="11.25" customHeight="1" x14ac:dyDescent="0.3"/>
    <row r="907" ht="11.25" customHeight="1" x14ac:dyDescent="0.3"/>
    <row r="908" ht="11.25" customHeight="1" x14ac:dyDescent="0.3"/>
    <row r="909" ht="11.25" customHeight="1" x14ac:dyDescent="0.3"/>
    <row r="910" ht="11.25" customHeight="1" x14ac:dyDescent="0.3"/>
    <row r="911" ht="11.25" customHeight="1" x14ac:dyDescent="0.3"/>
    <row r="912" ht="11.25" customHeight="1" x14ac:dyDescent="0.3"/>
    <row r="913" ht="11.25" customHeight="1" x14ac:dyDescent="0.3"/>
    <row r="914" ht="11.25" customHeight="1" x14ac:dyDescent="0.3"/>
    <row r="915" ht="11.25" customHeight="1" x14ac:dyDescent="0.3"/>
    <row r="916" ht="11.25" customHeight="1" x14ac:dyDescent="0.3"/>
    <row r="917" ht="11.25" customHeight="1" x14ac:dyDescent="0.3"/>
    <row r="918" ht="11.25" customHeight="1" x14ac:dyDescent="0.3"/>
    <row r="919" ht="11.25" customHeight="1" x14ac:dyDescent="0.3"/>
    <row r="920" ht="11.25" customHeight="1" x14ac:dyDescent="0.3"/>
    <row r="921" ht="11.25" customHeight="1" x14ac:dyDescent="0.3"/>
    <row r="922" ht="11.25" customHeight="1" x14ac:dyDescent="0.3"/>
    <row r="923" ht="11.25" customHeight="1" x14ac:dyDescent="0.3"/>
    <row r="924" ht="11.25" customHeight="1" x14ac:dyDescent="0.3"/>
    <row r="925" ht="11.25" customHeight="1" x14ac:dyDescent="0.3"/>
    <row r="926" ht="11.25" customHeight="1" x14ac:dyDescent="0.3"/>
    <row r="927" ht="11.25" customHeight="1" x14ac:dyDescent="0.3"/>
    <row r="928" ht="11.25" customHeight="1" x14ac:dyDescent="0.3"/>
    <row r="929" ht="11.25" customHeight="1" x14ac:dyDescent="0.3"/>
    <row r="930" ht="11.25" customHeight="1" x14ac:dyDescent="0.3"/>
    <row r="931" ht="11.25" customHeight="1" x14ac:dyDescent="0.3"/>
    <row r="932" ht="11.25" customHeight="1" x14ac:dyDescent="0.3"/>
    <row r="933" ht="11.25" customHeight="1" x14ac:dyDescent="0.3"/>
    <row r="934" ht="11.25" customHeight="1" x14ac:dyDescent="0.3"/>
    <row r="935" ht="11.25" customHeight="1" x14ac:dyDescent="0.3"/>
    <row r="936" ht="11.25" customHeight="1" x14ac:dyDescent="0.3"/>
    <row r="937" ht="11.25" customHeight="1" x14ac:dyDescent="0.3"/>
    <row r="938" ht="11.25" customHeight="1" x14ac:dyDescent="0.3"/>
    <row r="939" ht="11.25" customHeight="1" x14ac:dyDescent="0.3"/>
    <row r="940" ht="11.25" customHeight="1" x14ac:dyDescent="0.3"/>
    <row r="941" ht="11.25" customHeight="1" x14ac:dyDescent="0.3"/>
    <row r="942" ht="11.25" customHeight="1" x14ac:dyDescent="0.3"/>
    <row r="943" ht="11.25" customHeight="1" x14ac:dyDescent="0.3"/>
    <row r="944" ht="11.25" customHeight="1" x14ac:dyDescent="0.3"/>
    <row r="945" ht="11.25" customHeight="1" x14ac:dyDescent="0.3"/>
    <row r="946" ht="11.25" customHeight="1" x14ac:dyDescent="0.3"/>
    <row r="947" ht="11.25" customHeight="1" x14ac:dyDescent="0.3"/>
    <row r="948" ht="11.25" customHeight="1" x14ac:dyDescent="0.3"/>
    <row r="949" ht="11.25" customHeight="1" x14ac:dyDescent="0.3"/>
    <row r="950" ht="11.25" customHeight="1" x14ac:dyDescent="0.3"/>
    <row r="951" ht="11.25" customHeight="1" x14ac:dyDescent="0.3"/>
    <row r="952" ht="11.25" customHeight="1" x14ac:dyDescent="0.3"/>
    <row r="953" ht="11.25" customHeight="1" x14ac:dyDescent="0.3"/>
    <row r="954" ht="11.25" customHeight="1" x14ac:dyDescent="0.3"/>
    <row r="955" ht="11.25" customHeight="1" x14ac:dyDescent="0.3"/>
    <row r="956" ht="11.25" customHeight="1" x14ac:dyDescent="0.3"/>
    <row r="957" ht="11.25" customHeight="1" x14ac:dyDescent="0.3"/>
    <row r="958" ht="11.25" customHeight="1" x14ac:dyDescent="0.3"/>
    <row r="959" ht="11.25" customHeight="1" x14ac:dyDescent="0.3"/>
    <row r="960" ht="11.25" customHeight="1" x14ac:dyDescent="0.3"/>
    <row r="961" ht="11.25" customHeight="1" x14ac:dyDescent="0.3"/>
    <row r="962" ht="11.25" customHeight="1" x14ac:dyDescent="0.3"/>
    <row r="963" ht="11.25" customHeight="1" x14ac:dyDescent="0.3"/>
    <row r="964" ht="11.25" customHeight="1" x14ac:dyDescent="0.3"/>
    <row r="965" ht="11.25" customHeight="1" x14ac:dyDescent="0.3"/>
    <row r="966" ht="11.25" customHeight="1" x14ac:dyDescent="0.3"/>
    <row r="967" ht="11.25" customHeight="1" x14ac:dyDescent="0.3"/>
    <row r="968" ht="11.25" customHeight="1" x14ac:dyDescent="0.3"/>
    <row r="969" ht="11.25" customHeight="1" x14ac:dyDescent="0.3"/>
    <row r="970" ht="11.25" customHeight="1" x14ac:dyDescent="0.3"/>
    <row r="971" ht="11.25" customHeight="1" x14ac:dyDescent="0.3"/>
    <row r="972" ht="11.25" customHeight="1" x14ac:dyDescent="0.3"/>
    <row r="973" ht="11.25" customHeight="1" x14ac:dyDescent="0.3"/>
    <row r="974" ht="11.25" customHeight="1" x14ac:dyDescent="0.3"/>
    <row r="975" ht="11.25" customHeight="1" x14ac:dyDescent="0.3"/>
    <row r="976" ht="11.25" customHeight="1" x14ac:dyDescent="0.3"/>
    <row r="977" ht="11.25" customHeight="1" x14ac:dyDescent="0.3"/>
    <row r="978" ht="11.25" customHeight="1" x14ac:dyDescent="0.3"/>
    <row r="979" ht="11.25" customHeight="1" x14ac:dyDescent="0.3"/>
    <row r="980" ht="11.25" customHeight="1" x14ac:dyDescent="0.3"/>
    <row r="981" ht="11.25" customHeight="1" x14ac:dyDescent="0.3"/>
    <row r="982" ht="11.25" customHeight="1" x14ac:dyDescent="0.3"/>
    <row r="983" ht="11.25" customHeight="1" x14ac:dyDescent="0.3"/>
    <row r="984" ht="11.25" customHeight="1" x14ac:dyDescent="0.3"/>
    <row r="985" ht="11.25" customHeight="1" x14ac:dyDescent="0.3"/>
    <row r="986" ht="11.25" customHeight="1" x14ac:dyDescent="0.3"/>
    <row r="987" ht="11.25" customHeight="1" x14ac:dyDescent="0.3"/>
    <row r="988" ht="11.25" customHeight="1" x14ac:dyDescent="0.3"/>
    <row r="989" ht="11.25" customHeight="1" x14ac:dyDescent="0.3"/>
    <row r="990" ht="11.25" customHeight="1" x14ac:dyDescent="0.3"/>
    <row r="991" ht="11.25" customHeight="1" x14ac:dyDescent="0.3"/>
    <row r="992" ht="11.25" customHeight="1" x14ac:dyDescent="0.3"/>
    <row r="993" ht="11.25" customHeight="1" x14ac:dyDescent="0.3"/>
    <row r="994" ht="11.25" customHeight="1" x14ac:dyDescent="0.3"/>
    <row r="995" ht="11.25" customHeight="1" x14ac:dyDescent="0.3"/>
    <row r="996" ht="11.25" customHeight="1" x14ac:dyDescent="0.3"/>
    <row r="997" ht="11.25" customHeight="1" x14ac:dyDescent="0.3"/>
    <row r="998" ht="11.25" customHeight="1" x14ac:dyDescent="0.3"/>
    <row r="999" ht="11.25" customHeight="1" x14ac:dyDescent="0.3"/>
    <row r="1000" ht="11.25" customHeight="1" x14ac:dyDescent="0.3"/>
    <row r="1001" ht="11.25" customHeight="1" x14ac:dyDescent="0.3"/>
    <row r="1002" ht="11.25" customHeight="1" x14ac:dyDescent="0.3"/>
    <row r="1003" ht="11.25" customHeight="1" x14ac:dyDescent="0.3"/>
    <row r="1004" ht="11.25" customHeight="1" x14ac:dyDescent="0.3"/>
    <row r="1005" ht="11.25" customHeight="1" x14ac:dyDescent="0.3"/>
    <row r="1006" ht="11.25" customHeight="1" x14ac:dyDescent="0.3"/>
    <row r="1007" ht="11.25" customHeight="1" x14ac:dyDescent="0.3"/>
    <row r="1008" ht="11.25" customHeight="1" x14ac:dyDescent="0.3"/>
    <row r="1009" ht="11.25" customHeight="1" x14ac:dyDescent="0.3"/>
    <row r="1010" ht="11.25" customHeight="1" x14ac:dyDescent="0.3"/>
    <row r="1011" ht="11.25" customHeight="1" x14ac:dyDescent="0.3"/>
    <row r="1012" ht="11.25" customHeight="1" x14ac:dyDescent="0.3"/>
    <row r="1013" ht="11.25" customHeight="1" x14ac:dyDescent="0.3"/>
    <row r="1014" ht="11.25" customHeight="1" x14ac:dyDescent="0.3"/>
    <row r="1015" ht="11.25" customHeight="1" x14ac:dyDescent="0.3"/>
    <row r="1016" ht="11.25" customHeight="1" x14ac:dyDescent="0.3"/>
    <row r="1017" ht="11.25" customHeight="1" x14ac:dyDescent="0.3"/>
    <row r="1018" ht="11.25" customHeight="1" x14ac:dyDescent="0.3"/>
    <row r="1019" ht="11.25" customHeight="1" x14ac:dyDescent="0.3"/>
    <row r="1020" ht="11.25" customHeight="1" x14ac:dyDescent="0.3"/>
    <row r="1021" ht="11.25" customHeight="1" x14ac:dyDescent="0.3"/>
    <row r="1022" ht="11.25" customHeight="1" x14ac:dyDescent="0.3"/>
    <row r="1023" ht="11.25" customHeight="1" x14ac:dyDescent="0.3"/>
    <row r="1024" ht="11.25" customHeight="1" x14ac:dyDescent="0.3"/>
    <row r="1025" ht="11.25" customHeight="1" x14ac:dyDescent="0.3"/>
    <row r="1026" ht="11.25" customHeight="1" x14ac:dyDescent="0.3"/>
    <row r="1027" ht="11.25" customHeight="1" x14ac:dyDescent="0.3"/>
    <row r="1028" ht="11.25" customHeight="1" x14ac:dyDescent="0.3"/>
    <row r="1029" ht="11.25" customHeight="1" x14ac:dyDescent="0.3"/>
    <row r="1030" ht="11.25" customHeight="1" x14ac:dyDescent="0.3"/>
    <row r="1031" ht="11.25" customHeight="1" x14ac:dyDescent="0.3"/>
    <row r="1032" ht="11.25" customHeight="1" x14ac:dyDescent="0.3"/>
    <row r="1033" ht="11.25" customHeight="1" x14ac:dyDescent="0.3"/>
    <row r="1034" ht="11.25" customHeight="1" x14ac:dyDescent="0.3"/>
    <row r="1035" ht="11.25" customHeight="1" x14ac:dyDescent="0.3"/>
    <row r="1036" ht="11.25" customHeight="1" x14ac:dyDescent="0.3"/>
    <row r="1037" ht="11.25" customHeight="1" x14ac:dyDescent="0.3"/>
    <row r="1038" ht="11.25" customHeight="1" x14ac:dyDescent="0.3"/>
    <row r="1039" ht="11.25" customHeight="1" x14ac:dyDescent="0.3"/>
    <row r="1040" ht="11.25" customHeight="1" x14ac:dyDescent="0.3"/>
    <row r="1041" ht="11.25" customHeight="1" x14ac:dyDescent="0.3"/>
    <row r="1042" ht="11.25" customHeight="1" x14ac:dyDescent="0.3"/>
    <row r="1043" ht="11.25" customHeight="1" x14ac:dyDescent="0.3"/>
    <row r="1044" ht="11.25" customHeight="1" x14ac:dyDescent="0.3"/>
    <row r="1045" ht="11.25" customHeight="1" x14ac:dyDescent="0.3"/>
    <row r="1046" ht="11.25" customHeight="1" x14ac:dyDescent="0.3"/>
    <row r="1047" ht="11.25" customHeight="1" x14ac:dyDescent="0.3"/>
    <row r="1048" ht="11.25" customHeight="1" x14ac:dyDescent="0.3"/>
    <row r="1049" ht="11.25" customHeight="1" x14ac:dyDescent="0.3"/>
    <row r="1050" ht="11.25" customHeight="1" x14ac:dyDescent="0.3"/>
    <row r="1051" ht="11.25" customHeight="1" x14ac:dyDescent="0.3"/>
    <row r="1052" ht="11.25" customHeight="1" x14ac:dyDescent="0.3"/>
    <row r="1053" ht="11.25" customHeight="1" x14ac:dyDescent="0.3"/>
    <row r="1054" ht="11.25" customHeight="1" x14ac:dyDescent="0.3"/>
    <row r="1055" ht="11.25" customHeight="1" x14ac:dyDescent="0.3"/>
    <row r="1056" ht="11.25" customHeight="1" x14ac:dyDescent="0.3"/>
    <row r="1057" ht="11.25" customHeight="1" x14ac:dyDescent="0.3"/>
    <row r="1058" ht="11.25" customHeight="1" x14ac:dyDescent="0.3"/>
    <row r="1059" ht="11.25" customHeight="1" x14ac:dyDescent="0.3"/>
    <row r="1060" ht="11.25" customHeight="1" x14ac:dyDescent="0.3"/>
    <row r="1061" ht="11.25" customHeight="1" x14ac:dyDescent="0.3"/>
    <row r="1062" ht="11.25" customHeight="1" x14ac:dyDescent="0.3"/>
    <row r="1063" ht="11.25" customHeight="1" x14ac:dyDescent="0.3"/>
    <row r="1064" ht="11.25" customHeight="1" x14ac:dyDescent="0.3"/>
    <row r="1065" ht="11.25" customHeight="1" x14ac:dyDescent="0.3"/>
    <row r="1066" ht="11.25" customHeight="1" x14ac:dyDescent="0.3"/>
    <row r="1067" ht="11.25" customHeight="1" x14ac:dyDescent="0.3"/>
    <row r="1068" ht="11.25" customHeight="1" x14ac:dyDescent="0.3"/>
    <row r="1069" ht="11.25" customHeight="1" x14ac:dyDescent="0.3"/>
    <row r="1070" ht="11.25" customHeight="1" x14ac:dyDescent="0.3"/>
    <row r="1071" ht="11.25" customHeight="1" x14ac:dyDescent="0.3"/>
    <row r="1072" ht="11.25" customHeight="1" x14ac:dyDescent="0.3"/>
    <row r="1073" ht="11.25" customHeight="1" x14ac:dyDescent="0.3"/>
    <row r="1074" ht="11.25" customHeight="1" x14ac:dyDescent="0.3"/>
    <row r="1075" ht="11.25" customHeight="1" x14ac:dyDescent="0.3"/>
    <row r="1076" ht="11.25" customHeight="1" x14ac:dyDescent="0.3"/>
    <row r="1077" ht="11.25" customHeight="1" x14ac:dyDescent="0.3"/>
    <row r="1078" ht="11.25" customHeight="1" x14ac:dyDescent="0.3"/>
    <row r="1079" ht="11.25" customHeight="1" x14ac:dyDescent="0.3"/>
    <row r="1080" ht="11.25" customHeight="1" x14ac:dyDescent="0.3"/>
    <row r="1081" ht="11.25" customHeight="1" x14ac:dyDescent="0.3"/>
    <row r="1082" ht="11.25" customHeight="1" x14ac:dyDescent="0.3"/>
    <row r="1083" ht="11.25" customHeight="1" x14ac:dyDescent="0.3"/>
    <row r="1084" ht="11.25" customHeight="1" x14ac:dyDescent="0.3"/>
    <row r="1085" ht="11.25" customHeight="1" x14ac:dyDescent="0.3"/>
    <row r="1086" ht="11.25" customHeight="1" x14ac:dyDescent="0.3"/>
    <row r="1087" ht="11.25" customHeight="1" x14ac:dyDescent="0.3"/>
    <row r="1088" ht="11.25" customHeight="1" x14ac:dyDescent="0.3"/>
    <row r="1089" ht="11.25" customHeight="1" x14ac:dyDescent="0.3"/>
    <row r="1090" ht="11.25" customHeight="1" x14ac:dyDescent="0.3"/>
    <row r="1091" ht="11.25" customHeight="1" x14ac:dyDescent="0.3"/>
    <row r="1092" ht="11.25" customHeight="1" x14ac:dyDescent="0.3"/>
    <row r="1093" ht="11.25" customHeight="1" x14ac:dyDescent="0.3"/>
    <row r="1094" ht="11.25" customHeight="1" x14ac:dyDescent="0.3"/>
    <row r="1095" ht="11.25" customHeight="1" x14ac:dyDescent="0.3"/>
    <row r="1096" ht="11.25" customHeight="1" x14ac:dyDescent="0.3"/>
    <row r="1097" ht="11.25" customHeight="1" x14ac:dyDescent="0.3"/>
    <row r="1098" ht="11.25" customHeight="1" x14ac:dyDescent="0.3"/>
    <row r="1099" ht="11.25" customHeight="1" x14ac:dyDescent="0.3"/>
    <row r="1100" ht="11.25" customHeight="1" x14ac:dyDescent="0.3"/>
    <row r="1101" ht="11.25" customHeight="1" x14ac:dyDescent="0.3"/>
    <row r="1102" ht="11.25" customHeight="1" x14ac:dyDescent="0.3"/>
    <row r="1103" ht="11.25" customHeight="1" x14ac:dyDescent="0.3"/>
    <row r="1104" ht="11.25" customHeight="1" x14ac:dyDescent="0.3"/>
    <row r="1105" ht="11.25" customHeight="1" x14ac:dyDescent="0.3"/>
    <row r="1106" ht="11.25" customHeight="1" x14ac:dyDescent="0.3"/>
    <row r="1107" ht="11.25" customHeight="1" x14ac:dyDescent="0.3"/>
    <row r="1108" ht="11.25" customHeight="1" x14ac:dyDescent="0.3"/>
    <row r="1109" ht="11.25" customHeight="1" x14ac:dyDescent="0.3"/>
    <row r="1110" ht="11.25" customHeight="1" x14ac:dyDescent="0.3"/>
    <row r="1111" ht="11.25" customHeight="1" x14ac:dyDescent="0.3"/>
    <row r="1112" ht="11.25" customHeight="1" x14ac:dyDescent="0.3"/>
    <row r="1113" ht="11.25" customHeight="1" x14ac:dyDescent="0.3"/>
    <row r="1114" ht="11.25" customHeight="1" x14ac:dyDescent="0.3"/>
    <row r="1115" ht="11.25" customHeight="1" x14ac:dyDescent="0.3"/>
    <row r="1116" ht="11.25" customHeight="1" x14ac:dyDescent="0.3"/>
    <row r="1117" ht="11.25" customHeight="1" x14ac:dyDescent="0.3"/>
    <row r="1118" ht="11.25" customHeight="1" x14ac:dyDescent="0.3"/>
    <row r="1119" ht="11.25" customHeight="1" x14ac:dyDescent="0.3"/>
    <row r="1120" ht="11.25" customHeight="1" x14ac:dyDescent="0.3"/>
    <row r="1121" ht="11.25" customHeight="1" x14ac:dyDescent="0.3"/>
    <row r="1122" ht="11.25" customHeight="1" x14ac:dyDescent="0.3"/>
    <row r="1123" ht="11.25" customHeight="1" x14ac:dyDescent="0.3"/>
    <row r="1124" ht="11.25" customHeight="1" x14ac:dyDescent="0.3"/>
    <row r="1125" ht="11.25" customHeight="1" x14ac:dyDescent="0.3"/>
    <row r="1126" ht="11.25" customHeight="1" x14ac:dyDescent="0.3"/>
    <row r="1127" ht="11.25" customHeight="1" x14ac:dyDescent="0.3"/>
    <row r="1128" ht="11.25" customHeight="1" x14ac:dyDescent="0.3"/>
    <row r="1129" ht="11.25" customHeight="1" x14ac:dyDescent="0.3"/>
    <row r="1130" ht="11.25" customHeight="1" x14ac:dyDescent="0.3"/>
    <row r="1131" ht="11.25" customHeight="1" x14ac:dyDescent="0.3"/>
    <row r="1132" ht="11.25" customHeight="1" x14ac:dyDescent="0.3"/>
    <row r="1133" ht="11.25" customHeight="1" x14ac:dyDescent="0.3"/>
    <row r="1134" ht="11.25" customHeight="1" x14ac:dyDescent="0.3"/>
    <row r="1135" ht="11.25" customHeight="1" x14ac:dyDescent="0.3"/>
    <row r="1136" ht="11.25" customHeight="1" x14ac:dyDescent="0.3"/>
    <row r="1137" ht="11.25" customHeight="1" x14ac:dyDescent="0.3"/>
    <row r="1138" ht="11.25" customHeight="1" x14ac:dyDescent="0.3"/>
    <row r="1139" ht="11.25" customHeight="1" x14ac:dyDescent="0.3"/>
    <row r="1140" ht="11.25" customHeight="1" x14ac:dyDescent="0.3"/>
    <row r="1141" ht="11.25" customHeight="1" x14ac:dyDescent="0.3"/>
    <row r="1142" ht="11.25" customHeight="1" x14ac:dyDescent="0.3"/>
    <row r="1143" ht="11.25" customHeight="1" x14ac:dyDescent="0.3"/>
    <row r="1144" ht="11.25" customHeight="1" x14ac:dyDescent="0.3"/>
    <row r="1145" ht="11.25" customHeight="1" x14ac:dyDescent="0.3"/>
    <row r="1146" ht="11.25" customHeight="1" x14ac:dyDescent="0.3"/>
    <row r="1147" ht="11.25" customHeight="1" x14ac:dyDescent="0.3"/>
    <row r="1148" ht="11.25" customHeight="1" x14ac:dyDescent="0.3"/>
    <row r="1149" ht="11.25" customHeight="1" x14ac:dyDescent="0.3"/>
    <row r="1150" ht="11.25" customHeight="1" x14ac:dyDescent="0.3"/>
    <row r="1151" ht="11.25" customHeight="1" x14ac:dyDescent="0.3"/>
    <row r="1152" ht="11.25" customHeight="1" x14ac:dyDescent="0.3"/>
    <row r="1153" ht="11.25" customHeight="1" x14ac:dyDescent="0.3"/>
    <row r="1154" ht="11.25" customHeight="1" x14ac:dyDescent="0.3"/>
    <row r="1155" ht="11.25" customHeight="1" x14ac:dyDescent="0.3"/>
    <row r="1156" ht="11.25" customHeight="1" x14ac:dyDescent="0.3"/>
    <row r="1157" ht="11.25" customHeight="1" x14ac:dyDescent="0.3"/>
    <row r="1158" ht="11.25" customHeight="1" x14ac:dyDescent="0.3"/>
    <row r="1159" ht="11.25" customHeight="1" x14ac:dyDescent="0.3"/>
    <row r="1160" ht="11.25" customHeight="1" x14ac:dyDescent="0.3"/>
    <row r="1161" ht="11.25" customHeight="1" x14ac:dyDescent="0.3"/>
    <row r="1162" ht="11.25" customHeight="1" x14ac:dyDescent="0.3"/>
    <row r="1163" ht="11.25" customHeight="1" x14ac:dyDescent="0.3"/>
    <row r="1164" ht="11.25" customHeight="1" x14ac:dyDescent="0.3"/>
    <row r="1165" ht="11.25" customHeight="1" x14ac:dyDescent="0.3"/>
    <row r="1166" ht="11.25" customHeight="1" x14ac:dyDescent="0.3"/>
    <row r="1167" ht="11.25" customHeight="1" x14ac:dyDescent="0.3"/>
    <row r="1168" ht="11.25" customHeight="1" x14ac:dyDescent="0.3"/>
    <row r="1169" ht="11.25" customHeight="1" x14ac:dyDescent="0.3"/>
    <row r="1170" ht="11.25" customHeight="1" x14ac:dyDescent="0.3"/>
    <row r="1171" ht="11.25" customHeight="1" x14ac:dyDescent="0.3"/>
    <row r="1172" ht="11.25" customHeight="1" x14ac:dyDescent="0.3"/>
    <row r="1173" ht="11.25" customHeight="1" x14ac:dyDescent="0.3"/>
    <row r="1174" ht="11.25" customHeight="1" x14ac:dyDescent="0.3"/>
    <row r="1175" ht="11.25" customHeight="1" x14ac:dyDescent="0.3"/>
    <row r="1176" ht="11.25" customHeight="1" x14ac:dyDescent="0.3"/>
    <row r="1177" ht="11.25" customHeight="1" x14ac:dyDescent="0.3"/>
    <row r="1178" ht="11.25" customHeight="1" x14ac:dyDescent="0.3"/>
    <row r="1179" ht="11.25" customHeight="1" x14ac:dyDescent="0.3"/>
    <row r="1180" ht="11.25" customHeight="1" x14ac:dyDescent="0.3"/>
    <row r="1181" ht="11.25" customHeight="1" x14ac:dyDescent="0.3"/>
    <row r="1182" ht="11.25" customHeight="1" x14ac:dyDescent="0.3"/>
    <row r="1183" ht="11.25" customHeight="1" x14ac:dyDescent="0.3"/>
    <row r="1184" ht="11.25" customHeight="1" x14ac:dyDescent="0.3"/>
    <row r="1185" ht="11.25" customHeight="1" x14ac:dyDescent="0.3"/>
    <row r="1186" ht="11.25" customHeight="1" x14ac:dyDescent="0.3"/>
    <row r="1187" ht="11.25" customHeight="1" x14ac:dyDescent="0.3"/>
    <row r="1188" ht="11.25" customHeight="1" x14ac:dyDescent="0.3"/>
    <row r="1189" ht="11.25" customHeight="1" x14ac:dyDescent="0.3"/>
    <row r="1190" ht="11.25" customHeight="1" x14ac:dyDescent="0.3"/>
    <row r="1191" ht="11.25" customHeight="1" x14ac:dyDescent="0.3"/>
    <row r="1192" ht="11.25" customHeight="1" x14ac:dyDescent="0.3"/>
    <row r="1193" ht="11.25" customHeight="1" x14ac:dyDescent="0.3"/>
    <row r="1194" ht="11.25" customHeight="1" x14ac:dyDescent="0.3"/>
    <row r="1195" ht="11.25" customHeight="1" x14ac:dyDescent="0.3"/>
    <row r="1196" ht="11.25" customHeight="1" x14ac:dyDescent="0.3"/>
    <row r="1197" ht="11.25" customHeight="1" x14ac:dyDescent="0.3"/>
    <row r="1198" ht="11.25" customHeight="1" x14ac:dyDescent="0.3"/>
    <row r="1199" ht="11.25" customHeight="1" x14ac:dyDescent="0.3"/>
    <row r="1200" ht="11.25" customHeight="1" x14ac:dyDescent="0.3"/>
    <row r="1201" ht="11.25" customHeight="1" x14ac:dyDescent="0.3"/>
    <row r="1202" ht="11.25" customHeight="1" x14ac:dyDescent="0.3"/>
    <row r="1203" ht="11.25" customHeight="1" x14ac:dyDescent="0.3"/>
    <row r="1204" ht="11.25" customHeight="1" x14ac:dyDescent="0.3"/>
    <row r="1205" ht="11.25" customHeight="1" x14ac:dyDescent="0.3"/>
    <row r="1206" ht="11.25" customHeight="1" x14ac:dyDescent="0.3"/>
    <row r="1207" ht="11.25" customHeight="1" x14ac:dyDescent="0.3"/>
    <row r="1208" ht="11.25" customHeight="1" x14ac:dyDescent="0.3"/>
    <row r="1209" ht="11.25" customHeight="1" x14ac:dyDescent="0.3"/>
    <row r="1210" ht="11.25" customHeight="1" x14ac:dyDescent="0.3"/>
    <row r="1211" ht="11.25" customHeight="1" x14ac:dyDescent="0.3"/>
    <row r="1212" ht="11.25" customHeight="1" x14ac:dyDescent="0.3"/>
    <row r="1213" ht="11.25" customHeight="1" x14ac:dyDescent="0.3"/>
    <row r="1214" ht="11.25" customHeight="1" x14ac:dyDescent="0.3"/>
    <row r="1215" ht="11.25" customHeight="1" x14ac:dyDescent="0.3"/>
    <row r="1216" ht="11.25" customHeight="1" x14ac:dyDescent="0.3"/>
    <row r="1217" ht="11.25" customHeight="1" x14ac:dyDescent="0.3"/>
    <row r="1218" ht="11.25" customHeight="1" x14ac:dyDescent="0.3"/>
    <row r="1219" ht="11.25" customHeight="1" x14ac:dyDescent="0.3"/>
    <row r="1220" ht="11.25" customHeight="1" x14ac:dyDescent="0.3"/>
    <row r="1221" ht="11.25" customHeight="1" x14ac:dyDescent="0.3"/>
    <row r="1222" ht="11.25" customHeight="1" x14ac:dyDescent="0.3"/>
    <row r="1223" ht="11.25" customHeight="1" x14ac:dyDescent="0.3"/>
    <row r="1224" ht="11.25" customHeight="1" x14ac:dyDescent="0.3"/>
    <row r="1225" ht="11.25" customHeight="1" x14ac:dyDescent="0.3"/>
    <row r="1226" ht="11.25" customHeight="1" x14ac:dyDescent="0.3"/>
    <row r="1227" ht="11.25" customHeight="1" x14ac:dyDescent="0.3"/>
    <row r="1228" ht="11.25" customHeight="1" x14ac:dyDescent="0.3"/>
    <row r="1229" ht="11.25" customHeight="1" x14ac:dyDescent="0.3"/>
    <row r="1230" ht="11.25" customHeight="1" x14ac:dyDescent="0.3"/>
    <row r="1231" ht="11.25" customHeight="1" x14ac:dyDescent="0.3"/>
    <row r="1232" ht="11.25" customHeight="1" x14ac:dyDescent="0.3"/>
    <row r="1233" ht="11.25" customHeight="1" x14ac:dyDescent="0.3"/>
    <row r="1234" ht="11.25" customHeight="1" x14ac:dyDescent="0.3"/>
    <row r="1235" ht="11.25" customHeight="1" x14ac:dyDescent="0.3"/>
    <row r="1236" ht="11.25" customHeight="1" x14ac:dyDescent="0.3"/>
    <row r="1237" ht="11.25" customHeight="1" x14ac:dyDescent="0.3"/>
    <row r="1238" ht="11.25" customHeight="1" x14ac:dyDescent="0.3"/>
    <row r="1239" ht="11.25" customHeight="1" x14ac:dyDescent="0.3"/>
    <row r="1240" ht="11.25" customHeight="1" x14ac:dyDescent="0.3"/>
    <row r="1241" ht="11.25" customHeight="1" x14ac:dyDescent="0.3"/>
    <row r="1242" ht="11.25" customHeight="1" x14ac:dyDescent="0.3"/>
    <row r="1243" ht="11.25" customHeight="1" x14ac:dyDescent="0.3"/>
    <row r="1244" ht="11.25" customHeight="1" x14ac:dyDescent="0.3"/>
    <row r="1245" ht="11.25" customHeight="1" x14ac:dyDescent="0.3"/>
    <row r="1246" ht="11.25" customHeight="1" x14ac:dyDescent="0.3"/>
    <row r="1247" ht="11.25" customHeight="1" x14ac:dyDescent="0.3"/>
    <row r="1248" ht="11.25" customHeight="1" x14ac:dyDescent="0.3"/>
    <row r="1249" ht="11.25" customHeight="1" x14ac:dyDescent="0.3"/>
    <row r="1250" ht="11.25" customHeight="1" x14ac:dyDescent="0.3"/>
    <row r="1251" ht="11.25" customHeight="1" x14ac:dyDescent="0.3"/>
    <row r="1252" ht="11.25" customHeight="1" x14ac:dyDescent="0.3"/>
    <row r="1253" ht="11.25" customHeight="1" x14ac:dyDescent="0.3"/>
    <row r="1254" ht="11.25" customHeight="1" x14ac:dyDescent="0.3"/>
    <row r="1255" ht="11.25" customHeight="1" x14ac:dyDescent="0.3"/>
    <row r="1256" ht="11.25" customHeight="1" x14ac:dyDescent="0.3"/>
    <row r="1257" ht="11.25" customHeight="1" x14ac:dyDescent="0.3"/>
    <row r="1258" ht="11.25" customHeight="1" x14ac:dyDescent="0.3"/>
    <row r="1259" ht="11.25" customHeight="1" x14ac:dyDescent="0.3"/>
    <row r="1260" ht="11.25" customHeight="1" x14ac:dyDescent="0.3"/>
    <row r="1261" ht="11.25" customHeight="1" x14ac:dyDescent="0.3"/>
    <row r="1262" ht="11.25" customHeight="1" x14ac:dyDescent="0.3"/>
    <row r="1263" ht="11.25" customHeight="1" x14ac:dyDescent="0.3"/>
    <row r="1264" ht="11.25" customHeight="1" x14ac:dyDescent="0.3"/>
    <row r="1265" ht="11.25" customHeight="1" x14ac:dyDescent="0.3"/>
    <row r="1266" ht="11.25" customHeight="1" x14ac:dyDescent="0.3"/>
    <row r="1267" ht="11.25" customHeight="1" x14ac:dyDescent="0.3"/>
    <row r="1268" ht="11.25" customHeight="1" x14ac:dyDescent="0.3"/>
    <row r="1269" ht="11.25" customHeight="1" x14ac:dyDescent="0.3"/>
    <row r="1270" ht="11.25" customHeight="1" x14ac:dyDescent="0.3"/>
    <row r="1271" ht="11.25" customHeight="1" x14ac:dyDescent="0.3"/>
    <row r="1272" ht="11.25" customHeight="1" x14ac:dyDescent="0.3"/>
    <row r="1273" ht="11.25" customHeight="1" x14ac:dyDescent="0.3"/>
    <row r="1274" ht="11.25" customHeight="1" x14ac:dyDescent="0.3"/>
    <row r="1275" ht="11.25" customHeight="1" x14ac:dyDescent="0.3"/>
    <row r="1276" ht="11.25" customHeight="1" x14ac:dyDescent="0.3"/>
    <row r="1277" ht="11.25" customHeight="1" x14ac:dyDescent="0.3"/>
    <row r="1278" ht="11.25" customHeight="1" x14ac:dyDescent="0.3"/>
    <row r="1279" ht="11.25" customHeight="1" x14ac:dyDescent="0.3"/>
    <row r="1280" ht="11.25" customHeight="1" x14ac:dyDescent="0.3"/>
    <row r="1281" ht="11.25" customHeight="1" x14ac:dyDescent="0.3"/>
    <row r="1282" ht="11.25" customHeight="1" x14ac:dyDescent="0.3"/>
    <row r="1283" ht="11.25" customHeight="1" x14ac:dyDescent="0.3"/>
  </sheetData>
  <mergeCells count="264">
    <mergeCell ref="A52:E52"/>
    <mergeCell ref="F52:J52"/>
    <mergeCell ref="K52:AJ52"/>
    <mergeCell ref="AK52:AO52"/>
    <mergeCell ref="AP52:AR52"/>
    <mergeCell ref="AS52:AZ52"/>
    <mergeCell ref="A54:E54"/>
    <mergeCell ref="F54:J54"/>
    <mergeCell ref="K54:AJ54"/>
    <mergeCell ref="AK54:AO54"/>
    <mergeCell ref="AP54:AR54"/>
    <mergeCell ref="AS54:AZ54"/>
    <mergeCell ref="A53:E53"/>
    <mergeCell ref="F53:J53"/>
    <mergeCell ref="K53:AJ53"/>
    <mergeCell ref="AK53:AO53"/>
    <mergeCell ref="AP53:AR53"/>
    <mergeCell ref="AS53:AZ53"/>
    <mergeCell ref="A48:E48"/>
    <mergeCell ref="F48:J48"/>
    <mergeCell ref="K48:AJ48"/>
    <mergeCell ref="AK48:AO48"/>
    <mergeCell ref="AP48:AR48"/>
    <mergeCell ref="AS48:AZ48"/>
    <mergeCell ref="A50:E50"/>
    <mergeCell ref="F50:J50"/>
    <mergeCell ref="K50:AJ50"/>
    <mergeCell ref="AK50:AO50"/>
    <mergeCell ref="AP50:AR50"/>
    <mergeCell ref="AS50:AZ50"/>
    <mergeCell ref="A44:E44"/>
    <mergeCell ref="F44:J44"/>
    <mergeCell ref="K44:AJ44"/>
    <mergeCell ref="AK44:AO44"/>
    <mergeCell ref="AP44:AR44"/>
    <mergeCell ref="AS44:AZ44"/>
    <mergeCell ref="A46:E46"/>
    <mergeCell ref="F46:J46"/>
    <mergeCell ref="K46:AJ46"/>
    <mergeCell ref="AK46:AO46"/>
    <mergeCell ref="AP46:AR46"/>
    <mergeCell ref="AS46:AZ46"/>
    <mergeCell ref="A40:E40"/>
    <mergeCell ref="F40:J40"/>
    <mergeCell ref="K40:AJ40"/>
    <mergeCell ref="AK40:AO40"/>
    <mergeCell ref="AP40:AR40"/>
    <mergeCell ref="AS40:AZ40"/>
    <mergeCell ref="A42:E42"/>
    <mergeCell ref="F42:J42"/>
    <mergeCell ref="K42:AJ42"/>
    <mergeCell ref="AK42:AO42"/>
    <mergeCell ref="AP42:AR42"/>
    <mergeCell ref="AS42:AZ42"/>
    <mergeCell ref="A38:E38"/>
    <mergeCell ref="F38:J38"/>
    <mergeCell ref="K38:AJ38"/>
    <mergeCell ref="AK38:AO38"/>
    <mergeCell ref="AP38:AR38"/>
    <mergeCell ref="AS38:AZ38"/>
    <mergeCell ref="A39:E39"/>
    <mergeCell ref="F39:J39"/>
    <mergeCell ref="K39:AJ39"/>
    <mergeCell ref="AK39:AO39"/>
    <mergeCell ref="AP39:AR39"/>
    <mergeCell ref="AS39:AZ39"/>
    <mergeCell ref="A36:E36"/>
    <mergeCell ref="F36:J36"/>
    <mergeCell ref="K36:AJ36"/>
    <mergeCell ref="AK36:AO36"/>
    <mergeCell ref="AP36:AR36"/>
    <mergeCell ref="AS36:AZ36"/>
    <mergeCell ref="A37:E37"/>
    <mergeCell ref="F37:J37"/>
    <mergeCell ref="K37:AJ37"/>
    <mergeCell ref="AK37:AO37"/>
    <mergeCell ref="AP37:AR37"/>
    <mergeCell ref="AS37:AZ37"/>
    <mergeCell ref="A30:E30"/>
    <mergeCell ref="F30:J30"/>
    <mergeCell ref="K30:AJ30"/>
    <mergeCell ref="AK30:AO30"/>
    <mergeCell ref="AP30:AR30"/>
    <mergeCell ref="AS30:AZ30"/>
    <mergeCell ref="A32:E32"/>
    <mergeCell ref="F32:J32"/>
    <mergeCell ref="K32:AJ32"/>
    <mergeCell ref="AK32:AO32"/>
    <mergeCell ref="AP32:AR32"/>
    <mergeCell ref="AS32:AZ32"/>
    <mergeCell ref="A25:E25"/>
    <mergeCell ref="F25:J25"/>
    <mergeCell ref="K25:AJ25"/>
    <mergeCell ref="AK25:AO25"/>
    <mergeCell ref="AP25:AR25"/>
    <mergeCell ref="AS25:AZ25"/>
    <mergeCell ref="A26:E26"/>
    <mergeCell ref="F26:J26"/>
    <mergeCell ref="K26:AJ26"/>
    <mergeCell ref="AK26:AO26"/>
    <mergeCell ref="AP26:AR26"/>
    <mergeCell ref="AS26:AZ26"/>
    <mergeCell ref="A58:E58"/>
    <mergeCell ref="F58:J58"/>
    <mergeCell ref="K58:AJ58"/>
    <mergeCell ref="AK58:AO58"/>
    <mergeCell ref="AP58:AR58"/>
    <mergeCell ref="AS58:AZ58"/>
    <mergeCell ref="A55:E55"/>
    <mergeCell ref="F55:J55"/>
    <mergeCell ref="K55:AJ55"/>
    <mergeCell ref="AK55:AO55"/>
    <mergeCell ref="AP55:AR55"/>
    <mergeCell ref="AS55:AZ55"/>
    <mergeCell ref="A56:E56"/>
    <mergeCell ref="F56:J56"/>
    <mergeCell ref="K56:AJ56"/>
    <mergeCell ref="AK56:AO56"/>
    <mergeCell ref="AP56:AR56"/>
    <mergeCell ref="AS56:AZ56"/>
    <mergeCell ref="A57:E57"/>
    <mergeCell ref="F57:J57"/>
    <mergeCell ref="K57:AJ57"/>
    <mergeCell ref="AK57:AO57"/>
    <mergeCell ref="AP57:AR57"/>
    <mergeCell ref="AS57:AZ57"/>
    <mergeCell ref="AF6:AY6"/>
    <mergeCell ref="AF7:AY7"/>
    <mergeCell ref="AF8:AY8"/>
    <mergeCell ref="AF9:AY9"/>
    <mergeCell ref="AP10:AT10"/>
    <mergeCell ref="A1:E1"/>
    <mergeCell ref="L1:AA2"/>
    <mergeCell ref="AF1:AP2"/>
    <mergeCell ref="AQ1:AY2"/>
    <mergeCell ref="AF3:AY4"/>
    <mergeCell ref="AF5:AY5"/>
    <mergeCell ref="AJ10:AO10"/>
    <mergeCell ref="E17:M17"/>
    <mergeCell ref="X17:AH17"/>
    <mergeCell ref="E18:F18"/>
    <mergeCell ref="G18:M18"/>
    <mergeCell ref="E19:M19"/>
    <mergeCell ref="A21:E23"/>
    <mergeCell ref="F21:J23"/>
    <mergeCell ref="K21:AJ23"/>
    <mergeCell ref="AF11:AY11"/>
    <mergeCell ref="O12:AB14"/>
    <mergeCell ref="AJ12:AO12"/>
    <mergeCell ref="AP12:AT12"/>
    <mergeCell ref="A15:M16"/>
    <mergeCell ref="AJ15:AQ15"/>
    <mergeCell ref="AR15:AZ15"/>
    <mergeCell ref="X16:AH16"/>
    <mergeCell ref="AK21:AO23"/>
    <mergeCell ref="AP21:AR23"/>
    <mergeCell ref="AS21:AZ23"/>
    <mergeCell ref="A24:E24"/>
    <mergeCell ref="F24:J24"/>
    <mergeCell ref="K24:AJ24"/>
    <mergeCell ref="AK24:AO24"/>
    <mergeCell ref="AP24:AR24"/>
    <mergeCell ref="AS24:AZ24"/>
    <mergeCell ref="A29:E29"/>
    <mergeCell ref="F29:J29"/>
    <mergeCell ref="K29:AJ29"/>
    <mergeCell ref="AK29:AO29"/>
    <mergeCell ref="AP29:AR29"/>
    <mergeCell ref="AS29:AZ29"/>
    <mergeCell ref="A27:E27"/>
    <mergeCell ref="F27:J27"/>
    <mergeCell ref="K27:AJ27"/>
    <mergeCell ref="AK27:AO27"/>
    <mergeCell ref="AP27:AR27"/>
    <mergeCell ref="AS27:AZ27"/>
    <mergeCell ref="A28:E28"/>
    <mergeCell ref="F28:J28"/>
    <mergeCell ref="K28:AJ28"/>
    <mergeCell ref="AK28:AO28"/>
    <mergeCell ref="AP28:AR28"/>
    <mergeCell ref="AS28:AZ28"/>
    <mergeCell ref="A33:E33"/>
    <mergeCell ref="F33:J33"/>
    <mergeCell ref="K33:AJ33"/>
    <mergeCell ref="AK33:AO33"/>
    <mergeCell ref="AP33:AR33"/>
    <mergeCell ref="AS33:AZ33"/>
    <mergeCell ref="A31:E31"/>
    <mergeCell ref="F31:J31"/>
    <mergeCell ref="K31:AJ31"/>
    <mergeCell ref="AK31:AO31"/>
    <mergeCell ref="AP31:AR31"/>
    <mergeCell ref="AS31:AZ31"/>
    <mergeCell ref="AP34:AR34"/>
    <mergeCell ref="AS34:AZ34"/>
    <mergeCell ref="A34:E34"/>
    <mergeCell ref="F34:J34"/>
    <mergeCell ref="K34:AJ34"/>
    <mergeCell ref="AK34:AO34"/>
    <mergeCell ref="A35:E35"/>
    <mergeCell ref="F35:J35"/>
    <mergeCell ref="K35:AJ35"/>
    <mergeCell ref="AP35:AR35"/>
    <mergeCell ref="AS35:AZ35"/>
    <mergeCell ref="AK35:AO35"/>
    <mergeCell ref="A43:E43"/>
    <mergeCell ref="F43:J43"/>
    <mergeCell ref="K43:AJ43"/>
    <mergeCell ref="AK43:AO43"/>
    <mergeCell ref="AP43:AR43"/>
    <mergeCell ref="AS43:AZ43"/>
    <mergeCell ref="A41:E41"/>
    <mergeCell ref="F41:J41"/>
    <mergeCell ref="K41:AJ41"/>
    <mergeCell ref="AK41:AO41"/>
    <mergeCell ref="AP41:AR41"/>
    <mergeCell ref="AS41:AZ41"/>
    <mergeCell ref="A47:E47"/>
    <mergeCell ref="F47:J47"/>
    <mergeCell ref="K47:AJ47"/>
    <mergeCell ref="AK47:AO47"/>
    <mergeCell ref="AP47:AR47"/>
    <mergeCell ref="AS47:AZ47"/>
    <mergeCell ref="A45:E45"/>
    <mergeCell ref="F45:J45"/>
    <mergeCell ref="K45:AJ45"/>
    <mergeCell ref="AK45:AO45"/>
    <mergeCell ref="AP45:AR45"/>
    <mergeCell ref="AS45:AZ45"/>
    <mergeCell ref="A51:E51"/>
    <mergeCell ref="F51:J51"/>
    <mergeCell ref="K51:AJ51"/>
    <mergeCell ref="AK51:AO51"/>
    <mergeCell ref="AP51:AR51"/>
    <mergeCell ref="AS51:AZ51"/>
    <mergeCell ref="A49:E49"/>
    <mergeCell ref="F49:J49"/>
    <mergeCell ref="K49:AJ49"/>
    <mergeCell ref="AK49:AO49"/>
    <mergeCell ref="AP49:AR49"/>
    <mergeCell ref="AS49:AZ49"/>
    <mergeCell ref="AK63:AR63"/>
    <mergeCell ref="AS63:AZ63"/>
    <mergeCell ref="AK64:AR64"/>
    <mergeCell ref="M66:AI66"/>
    <mergeCell ref="AL66:AR66"/>
    <mergeCell ref="AS66:AZ66"/>
    <mergeCell ref="AK59:AR59"/>
    <mergeCell ref="AS59:AZ59"/>
    <mergeCell ref="U61:X61"/>
    <mergeCell ref="Y61:AC61"/>
    <mergeCell ref="AK61:AR61"/>
    <mergeCell ref="AS61:AZ61"/>
    <mergeCell ref="A74:L74"/>
    <mergeCell ref="M74:O74"/>
    <mergeCell ref="P74:R74"/>
    <mergeCell ref="A75:AS75"/>
    <mergeCell ref="A76:S76"/>
    <mergeCell ref="AL67:AR67"/>
    <mergeCell ref="AS67:AZ67"/>
    <mergeCell ref="AL68:AR68"/>
    <mergeCell ref="AS68:AZ68"/>
    <mergeCell ref="A70:AS70"/>
    <mergeCell ref="A72:AS72"/>
  </mergeCells>
  <phoneticPr fontId="26" type="noConversion"/>
  <hyperlinks>
    <hyperlink ref="L10" r:id="rId1" xr:uid="{00000000-0004-0000-0100-000000000000}"/>
  </hyperlinks>
  <pageMargins left="0.17708333333333334" right="0.23958333333333334" top="0.75" bottom="0.75" header="0.3" footer="0.3"/>
  <pageSetup orientation="portrait" horizontalDpi="360" verticalDpi="36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K27"/>
  <sheetViews>
    <sheetView zoomScale="105" zoomScaleNormal="150" workbookViewId="0">
      <selection activeCell="M12" sqref="M12"/>
    </sheetView>
  </sheetViews>
  <sheetFormatPr baseColWidth="10" defaultRowHeight="14.4" x14ac:dyDescent="0.3"/>
  <cols>
    <col min="1" max="1" width="2.88671875" customWidth="1"/>
    <col min="2" max="2" width="0.5546875" customWidth="1"/>
    <col min="3" max="4" width="0.44140625" customWidth="1"/>
    <col min="5" max="5" width="0.88671875" customWidth="1"/>
    <col min="6" max="6" width="1.88671875" customWidth="1"/>
    <col min="7" max="7" width="27.88671875" customWidth="1"/>
    <col min="8" max="8" width="1.44140625" customWidth="1"/>
    <col min="10" max="10" width="11.6640625" customWidth="1"/>
  </cols>
  <sheetData>
    <row r="4" spans="2:11" x14ac:dyDescent="0.3">
      <c r="B4" s="55" t="s">
        <v>63</v>
      </c>
      <c r="G4" t="s">
        <v>64</v>
      </c>
    </row>
    <row r="6" spans="2:11" x14ac:dyDescent="0.3">
      <c r="C6">
        <v>1</v>
      </c>
      <c r="H6">
        <v>0.25</v>
      </c>
    </row>
    <row r="9" spans="2:11" x14ac:dyDescent="0.3">
      <c r="I9" t="s">
        <v>73</v>
      </c>
      <c r="J9" t="s">
        <v>74</v>
      </c>
    </row>
    <row r="10" spans="2:11" x14ac:dyDescent="0.3">
      <c r="B10" t="s">
        <v>52</v>
      </c>
      <c r="C10" s="54">
        <f>0.87/1.0608*$C$6</f>
        <v>0.82013574660633481</v>
      </c>
      <c r="G10" t="s">
        <v>52</v>
      </c>
      <c r="H10" s="54">
        <f>0.751/1.0608*$H$6</f>
        <v>0.17698906485671193</v>
      </c>
      <c r="I10">
        <v>0.222</v>
      </c>
      <c r="J10">
        <f>I10*4</f>
        <v>0.88800000000000001</v>
      </c>
    </row>
    <row r="11" spans="2:11" x14ac:dyDescent="0.3">
      <c r="B11" t="s">
        <v>53</v>
      </c>
      <c r="C11" s="54">
        <f>0.18/1.0608*$C$6</f>
        <v>0.16968325791855204</v>
      </c>
      <c r="G11" t="s">
        <v>53</v>
      </c>
      <c r="H11" s="54">
        <f>0.15/1.0608*$H$6</f>
        <v>3.5350678733031674E-2</v>
      </c>
      <c r="I11" s="54">
        <v>0.08</v>
      </c>
      <c r="J11" s="58">
        <f t="shared" ref="J11:J23" si="0">I11*4</f>
        <v>0.32</v>
      </c>
    </row>
    <row r="12" spans="2:11" x14ac:dyDescent="0.3">
      <c r="B12" t="s">
        <v>51</v>
      </c>
      <c r="C12" s="54">
        <f>0.001/1.0608*$C$6</f>
        <v>9.4268476621417799E-4</v>
      </c>
      <c r="G12" t="s">
        <v>51</v>
      </c>
      <c r="H12" s="54">
        <f>0.0015/1.0608*$H$6</f>
        <v>3.5350678733031679E-4</v>
      </c>
      <c r="I12" s="54">
        <v>5.9999999999999995E-4</v>
      </c>
      <c r="J12">
        <f>I12*4</f>
        <v>2.3999999999999998E-3</v>
      </c>
      <c r="K12">
        <v>4.0000000000000001E-3</v>
      </c>
    </row>
    <row r="13" spans="2:11" x14ac:dyDescent="0.3">
      <c r="B13" t="s">
        <v>54</v>
      </c>
      <c r="C13" s="54">
        <f>0.0035/1.0608*$C$6</f>
        <v>3.2993966817496229E-3</v>
      </c>
      <c r="G13" t="s">
        <v>54</v>
      </c>
      <c r="H13" s="54">
        <f>0.0045/1.0608*$H$6</f>
        <v>1.0605203619909501E-3</v>
      </c>
      <c r="I13" s="54">
        <v>5.0000000000000001E-4</v>
      </c>
      <c r="J13">
        <f t="shared" si="0"/>
        <v>2E-3</v>
      </c>
    </row>
    <row r="14" spans="2:11" x14ac:dyDescent="0.3">
      <c r="B14" t="s">
        <v>55</v>
      </c>
      <c r="C14" s="54">
        <f>0.0005/1.0608*$C$6</f>
        <v>4.71342383107089E-4</v>
      </c>
      <c r="G14" t="s">
        <v>55</v>
      </c>
      <c r="H14" s="54">
        <f>0.0005/1.0608*$H$6</f>
        <v>1.1783559577677225E-4</v>
      </c>
      <c r="I14" s="54">
        <v>1E-4</v>
      </c>
      <c r="J14">
        <f>I14*4</f>
        <v>4.0000000000000002E-4</v>
      </c>
    </row>
    <row r="15" spans="2:11" x14ac:dyDescent="0.3">
      <c r="B15" t="s">
        <v>56</v>
      </c>
      <c r="C15" s="54">
        <f>0.0005/1.0608*$C$6</f>
        <v>4.71342383107089E-4</v>
      </c>
      <c r="G15" t="s">
        <v>56</v>
      </c>
      <c r="H15" s="54">
        <f>0.0005/1.0608*$H$6</f>
        <v>1.1783559577677225E-4</v>
      </c>
      <c r="I15" s="54">
        <v>1E-4</v>
      </c>
      <c r="J15">
        <f t="shared" si="0"/>
        <v>4.0000000000000002E-4</v>
      </c>
    </row>
    <row r="16" spans="2:11" x14ac:dyDescent="0.3">
      <c r="B16" t="s">
        <v>57</v>
      </c>
      <c r="C16" s="54">
        <f>0.0005/1.0608*$C$6</f>
        <v>4.71342383107089E-4</v>
      </c>
      <c r="G16" t="s">
        <v>57</v>
      </c>
      <c r="H16" s="54">
        <f>0.0005/1.0608*$H$6</f>
        <v>1.1783559577677225E-4</v>
      </c>
      <c r="I16" s="54">
        <v>1E-4</v>
      </c>
      <c r="J16">
        <f t="shared" si="0"/>
        <v>4.0000000000000002E-4</v>
      </c>
    </row>
    <row r="17" spans="2:10" x14ac:dyDescent="0.3">
      <c r="B17" t="s">
        <v>58</v>
      </c>
      <c r="C17" s="54">
        <f>0.0003/1.0608*$C$6</f>
        <v>2.8280542986425336E-4</v>
      </c>
      <c r="G17" t="s">
        <v>58</v>
      </c>
      <c r="H17" s="54">
        <f>0.0003/1.0608*$H$6</f>
        <v>7.0701357466063341E-5</v>
      </c>
      <c r="I17" s="54">
        <v>1E-4</v>
      </c>
      <c r="J17">
        <f t="shared" si="0"/>
        <v>4.0000000000000002E-4</v>
      </c>
    </row>
    <row r="18" spans="2:10" x14ac:dyDescent="0.3">
      <c r="B18" t="s">
        <v>59</v>
      </c>
      <c r="C18" s="54">
        <f>0.0015/1.0608*$C$6</f>
        <v>1.4140271493212671E-3</v>
      </c>
      <c r="G18" t="s">
        <v>68</v>
      </c>
      <c r="H18" s="54">
        <f>0.0012/1.0608*$H$6</f>
        <v>2.8280542986425336E-4</v>
      </c>
      <c r="I18" s="54">
        <v>0.1</v>
      </c>
      <c r="J18" s="58">
        <f t="shared" si="0"/>
        <v>0.4</v>
      </c>
    </row>
    <row r="19" spans="2:10" x14ac:dyDescent="0.3">
      <c r="B19" t="s">
        <v>62</v>
      </c>
      <c r="C19" s="54">
        <f>2/2.5*C6</f>
        <v>0.8</v>
      </c>
      <c r="G19" t="s">
        <v>75</v>
      </c>
      <c r="H19" s="54">
        <f>3.8/2.5*H6</f>
        <v>0.38</v>
      </c>
      <c r="I19" s="54">
        <v>0.3</v>
      </c>
      <c r="J19" s="58">
        <f t="shared" si="0"/>
        <v>1.2</v>
      </c>
    </row>
    <row r="20" spans="2:10" x14ac:dyDescent="0.3">
      <c r="B20" t="s">
        <v>61</v>
      </c>
      <c r="C20" s="54">
        <f>0.5/2.5*C6</f>
        <v>0.2</v>
      </c>
      <c r="G20" t="s">
        <v>69</v>
      </c>
      <c r="H20" s="54">
        <f>0.03/1.0608*$H$6</f>
        <v>7.0701357466063349E-3</v>
      </c>
      <c r="I20" s="54">
        <v>1.4999999999999999E-2</v>
      </c>
      <c r="J20" s="58">
        <f t="shared" si="0"/>
        <v>0.06</v>
      </c>
    </row>
    <row r="21" spans="2:10" x14ac:dyDescent="0.3">
      <c r="B21" t="s">
        <v>60</v>
      </c>
      <c r="C21" s="54">
        <f>0.001/1.0608*C6</f>
        <v>9.4268476621417799E-4</v>
      </c>
      <c r="G21" t="s">
        <v>60</v>
      </c>
      <c r="H21" s="54">
        <f>0.0065/1.0608*$H$6</f>
        <v>1.5318627450980392E-3</v>
      </c>
      <c r="I21" s="54">
        <v>6.9999999999999999E-4</v>
      </c>
      <c r="J21">
        <f t="shared" si="0"/>
        <v>2.8E-3</v>
      </c>
    </row>
    <row r="22" spans="2:10" x14ac:dyDescent="0.3">
      <c r="C22" s="54">
        <f>SUM(C10:C21)</f>
        <v>1.9981146304675717</v>
      </c>
      <c r="G22" t="s">
        <v>72</v>
      </c>
      <c r="H22" s="56"/>
      <c r="I22" s="57">
        <v>5.0000000000000002E-5</v>
      </c>
      <c r="J22" s="54">
        <f t="shared" si="0"/>
        <v>2.0000000000000001E-4</v>
      </c>
    </row>
    <row r="23" spans="2:10" x14ac:dyDescent="0.3">
      <c r="B23" t="s">
        <v>65</v>
      </c>
      <c r="C23" t="s">
        <v>66</v>
      </c>
      <c r="G23" t="s">
        <v>71</v>
      </c>
      <c r="H23" s="54"/>
      <c r="I23" s="57">
        <v>5.0000000000000002E-5</v>
      </c>
      <c r="J23">
        <f t="shared" si="0"/>
        <v>2.0000000000000001E-4</v>
      </c>
    </row>
    <row r="24" spans="2:10" x14ac:dyDescent="0.3">
      <c r="B24" t="s">
        <v>67</v>
      </c>
      <c r="C24">
        <v>3.5</v>
      </c>
      <c r="H24" s="54">
        <f>SUM(H10:H23)</f>
        <v>0.60306278280542991</v>
      </c>
      <c r="I24" s="56"/>
    </row>
    <row r="26" spans="2:10" x14ac:dyDescent="0.3">
      <c r="H26">
        <v>21</v>
      </c>
    </row>
    <row r="27" spans="2:10" x14ac:dyDescent="0.3">
      <c r="G27" t="s">
        <v>70</v>
      </c>
      <c r="H27">
        <v>3.7</v>
      </c>
      <c r="I27">
        <v>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CARTA PORTE SALIDA PT</vt:lpstr>
      <vt:lpstr>CARTA PORTE ENTRADA MP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oswaldo davila bollas</cp:lastModifiedBy>
  <cp:lastPrinted>2026-08-22T14:57:23Z</cp:lastPrinted>
  <dcterms:created xsi:type="dcterms:W3CDTF">2023-07-14T19:03:14Z</dcterms:created>
  <dcterms:modified xsi:type="dcterms:W3CDTF">2026-09-08T00:21:34Z</dcterms:modified>
</cp:coreProperties>
</file>